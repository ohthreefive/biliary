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9165" documentId="11_DDEAC6B07D323380D4B1ECFD7AAF666ED7DDC269" xr6:coauthVersionLast="47" xr6:coauthVersionMax="47" xr10:uidLastSave="{67471B43-3053-4BB0-86EF-2FE94A31D86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L9" i="1"/>
  <c r="M9" i="1" s="1"/>
  <c r="L10" i="1"/>
  <c r="M10" i="1" s="1"/>
  <c r="L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L128" i="1"/>
  <c r="M128" i="1" s="1"/>
  <c r="L129" i="1"/>
  <c r="M129" i="1" s="1"/>
  <c r="L130" i="1"/>
  <c r="M130" i="1" s="1"/>
  <c r="L131" i="1"/>
  <c r="M131" i="1" s="1"/>
  <c r="L132" i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L147" i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L156" i="1"/>
  <c r="M156" i="1" s="1"/>
  <c r="L157" i="1"/>
  <c r="M157" i="1" s="1"/>
  <c r="L158" i="1"/>
  <c r="M158" i="1" s="1"/>
  <c r="L159" i="1"/>
  <c r="M159" i="1" s="1"/>
  <c r="L160" i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L241" i="1"/>
  <c r="L242" i="1"/>
  <c r="M242" i="1" s="1"/>
  <c r="L243" i="1"/>
  <c r="M243" i="1" s="1"/>
  <c r="L244" i="1"/>
  <c r="M244" i="1" s="1"/>
  <c r="L245" i="1"/>
  <c r="M245" i="1" s="1"/>
  <c r="L246" i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L261" i="1"/>
  <c r="M261" i="1" s="1"/>
  <c r="L262" i="1"/>
  <c r="M262" i="1" s="1"/>
  <c r="L263" i="1"/>
  <c r="M263" i="1" s="1"/>
  <c r="L264" i="1"/>
  <c r="M264" i="1" s="1"/>
  <c r="L265" i="1"/>
  <c r="L266" i="1"/>
  <c r="M266" i="1" s="1"/>
  <c r="L267" i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L298" i="1"/>
  <c r="M298" i="1" s="1"/>
  <c r="L299" i="1"/>
  <c r="M299" i="1" s="1"/>
  <c r="L300" i="1"/>
  <c r="M300" i="1" s="1"/>
  <c r="L301" i="1"/>
  <c r="M301" i="1" s="1"/>
  <c r="L302" i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L344" i="1"/>
  <c r="M344" i="1" s="1"/>
  <c r="L345" i="1"/>
  <c r="M345" i="1" s="1"/>
  <c r="L346" i="1"/>
  <c r="M346" i="1" s="1"/>
  <c r="L347" i="1"/>
  <c r="L348" i="1"/>
  <c r="M348" i="1" s="1"/>
  <c r="L349" i="1"/>
  <c r="M349" i="1" s="1"/>
  <c r="L350" i="1"/>
  <c r="M350" i="1" s="1"/>
  <c r="L351" i="1"/>
  <c r="L352" i="1"/>
  <c r="M352" i="1" s="1"/>
  <c r="L353" i="1"/>
  <c r="M353" i="1" s="1"/>
  <c r="L354" i="1"/>
  <c r="M354" i="1" s="1"/>
  <c r="L355" i="1"/>
  <c r="M355" i="1" s="1"/>
  <c r="L356" i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L421" i="1"/>
  <c r="L422" i="1"/>
  <c r="M422" i="1" s="1"/>
  <c r="L423" i="1"/>
  <c r="M423" i="1" s="1"/>
  <c r="L424" i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L441" i="1"/>
  <c r="M441" i="1" s="1"/>
  <c r="L442" i="1"/>
  <c r="L443" i="1"/>
  <c r="M443" i="1" s="1"/>
  <c r="L444" i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L457" i="1"/>
  <c r="L458" i="1"/>
  <c r="M458" i="1" s="1"/>
  <c r="L459" i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L468" i="1"/>
  <c r="M468" i="1" s="1"/>
  <c r="L469" i="1"/>
  <c r="M469" i="1" s="1"/>
  <c r="L470" i="1"/>
  <c r="M470" i="1" s="1"/>
  <c r="L471" i="1"/>
  <c r="M471" i="1" s="1"/>
  <c r="L472" i="1"/>
  <c r="L473" i="1"/>
  <c r="M473" i="1" s="1"/>
  <c r="L474" i="1"/>
  <c r="M474" i="1" s="1"/>
  <c r="L475" i="1"/>
  <c r="M475" i="1" s="1"/>
  <c r="L476" i="1"/>
  <c r="L477" i="1"/>
  <c r="M477" i="1" s="1"/>
  <c r="L478" i="1"/>
  <c r="M478" i="1" s="1"/>
  <c r="L479" i="1"/>
  <c r="L480" i="1"/>
  <c r="M480" i="1" s="1"/>
  <c r="L481" i="1"/>
  <c r="L482" i="1"/>
  <c r="M482" i="1" s="1"/>
  <c r="L483" i="1"/>
  <c r="L484" i="1"/>
  <c r="L485" i="1"/>
  <c r="L486" i="1"/>
  <c r="L487" i="1"/>
  <c r="L488" i="1"/>
  <c r="M488" i="1" s="1"/>
  <c r="L489" i="1"/>
  <c r="L490" i="1"/>
  <c r="M490" i="1" s="1"/>
  <c r="L491" i="1"/>
  <c r="M491" i="1" s="1"/>
  <c r="L492" i="1"/>
  <c r="M492" i="1" s="1"/>
  <c r="L493" i="1"/>
  <c r="M493" i="1" s="1"/>
  <c r="L494" i="1"/>
  <c r="L495" i="1"/>
  <c r="M495" i="1" s="1"/>
  <c r="L496" i="1"/>
  <c r="L497" i="1"/>
  <c r="M497" i="1" s="1"/>
  <c r="L498" i="1"/>
  <c r="M498" i="1" s="1"/>
  <c r="L499" i="1"/>
  <c r="M499" i="1" s="1"/>
  <c r="L500" i="1"/>
  <c r="M500" i="1" s="1"/>
  <c r="G500" i="1"/>
  <c r="F500" i="1"/>
  <c r="C500" i="1"/>
  <c r="E500" i="1" s="1"/>
  <c r="B500" i="1"/>
  <c r="B499" i="1"/>
  <c r="C499" i="1"/>
  <c r="E499" i="1"/>
  <c r="F499" i="1"/>
  <c r="G499" i="1"/>
  <c r="G498" i="1"/>
  <c r="F498" i="1"/>
  <c r="C498" i="1"/>
  <c r="E498" i="1" s="1"/>
  <c r="B498" i="1"/>
  <c r="G497" i="1"/>
  <c r="F497" i="1"/>
  <c r="C497" i="1"/>
  <c r="E497" i="1" s="1"/>
  <c r="B497" i="1"/>
  <c r="G496" i="1"/>
  <c r="M496" i="1" s="1"/>
  <c r="F496" i="1"/>
  <c r="C496" i="1"/>
  <c r="E496" i="1" s="1"/>
  <c r="B496" i="1"/>
  <c r="G495" i="1"/>
  <c r="F495" i="1"/>
  <c r="C495" i="1"/>
  <c r="E495" i="1" s="1"/>
  <c r="B495" i="1"/>
  <c r="G494" i="1"/>
  <c r="M494" i="1" s="1"/>
  <c r="F494" i="1"/>
  <c r="C494" i="1"/>
  <c r="E494" i="1" s="1"/>
  <c r="B494" i="1"/>
  <c r="G493" i="1"/>
  <c r="F493" i="1"/>
  <c r="C493" i="1"/>
  <c r="E493" i="1" s="1"/>
  <c r="B493" i="1"/>
  <c r="G492" i="1"/>
  <c r="F492" i="1"/>
  <c r="C492" i="1"/>
  <c r="E492" i="1" s="1"/>
  <c r="B492" i="1"/>
  <c r="G491" i="1"/>
  <c r="F491" i="1"/>
  <c r="C491" i="1"/>
  <c r="E491" i="1" s="1"/>
  <c r="B491" i="1"/>
  <c r="G490" i="1"/>
  <c r="F490" i="1"/>
  <c r="C490" i="1"/>
  <c r="E490" i="1" s="1"/>
  <c r="B490" i="1"/>
  <c r="G489" i="1"/>
  <c r="M489" i="1" s="1"/>
  <c r="F489" i="1"/>
  <c r="C489" i="1"/>
  <c r="E489" i="1" s="1"/>
  <c r="B489" i="1"/>
  <c r="G488" i="1"/>
  <c r="F488" i="1"/>
  <c r="C488" i="1"/>
  <c r="E488" i="1"/>
  <c r="B488" i="1"/>
  <c r="G487" i="1"/>
  <c r="M487" i="1" s="1"/>
  <c r="F487" i="1"/>
  <c r="C487" i="1"/>
  <c r="E487" i="1"/>
  <c r="B487" i="1"/>
  <c r="G486" i="1"/>
  <c r="M486" i="1" s="1"/>
  <c r="F486" i="1"/>
  <c r="C486" i="1"/>
  <c r="E486" i="1"/>
  <c r="B486" i="1"/>
  <c r="G485" i="1"/>
  <c r="M485" i="1" s="1"/>
  <c r="F485" i="1"/>
  <c r="C485" i="1"/>
  <c r="E485" i="1"/>
  <c r="B485" i="1"/>
  <c r="G484" i="1"/>
  <c r="M484" i="1" s="1"/>
  <c r="F484" i="1"/>
  <c r="C484" i="1"/>
  <c r="E484" i="1"/>
  <c r="B484" i="1"/>
  <c r="G483" i="1"/>
  <c r="M483" i="1" s="1"/>
  <c r="F483" i="1"/>
  <c r="C483" i="1"/>
  <c r="E483" i="1"/>
  <c r="B483" i="1"/>
  <c r="G482" i="1"/>
  <c r="F482" i="1"/>
  <c r="C482" i="1"/>
  <c r="E482" i="1"/>
  <c r="B482" i="1"/>
  <c r="G481" i="1"/>
  <c r="M481" i="1" s="1"/>
  <c r="F481" i="1"/>
  <c r="C481" i="1"/>
  <c r="E481" i="1"/>
  <c r="B481" i="1"/>
  <c r="G480" i="1"/>
  <c r="F480" i="1"/>
  <c r="C480" i="1"/>
  <c r="E480" i="1"/>
  <c r="B480" i="1"/>
  <c r="G479" i="1"/>
  <c r="M479" i="1" s="1"/>
  <c r="F479" i="1"/>
  <c r="C479" i="1"/>
  <c r="E479" i="1"/>
  <c r="B479" i="1"/>
  <c r="B478" i="1"/>
  <c r="C478" i="1"/>
  <c r="E478" i="1"/>
  <c r="F478" i="1"/>
  <c r="G478" i="1"/>
  <c r="B477" i="1"/>
  <c r="C477" i="1"/>
  <c r="E477" i="1"/>
  <c r="F477" i="1"/>
  <c r="G477" i="1"/>
  <c r="G476" i="1"/>
  <c r="M476" i="1" s="1"/>
  <c r="F476" i="1"/>
  <c r="C476" i="1"/>
  <c r="E476" i="1"/>
  <c r="B476" i="1"/>
  <c r="G475" i="1"/>
  <c r="F475" i="1"/>
  <c r="C475" i="1"/>
  <c r="E475" i="1"/>
  <c r="B475" i="1"/>
  <c r="G474" i="1"/>
  <c r="F474" i="1"/>
  <c r="C474" i="1"/>
  <c r="E474" i="1"/>
  <c r="B474" i="1"/>
  <c r="B473" i="1"/>
  <c r="C473" i="1"/>
  <c r="E473" i="1"/>
  <c r="F473" i="1"/>
  <c r="G473" i="1"/>
  <c r="B472" i="1"/>
  <c r="C472" i="1"/>
  <c r="E472" i="1"/>
  <c r="F472" i="1"/>
  <c r="G472" i="1"/>
  <c r="M472" i="1" s="1"/>
  <c r="G471" i="1"/>
  <c r="F471" i="1"/>
  <c r="C471" i="1"/>
  <c r="E471" i="1"/>
  <c r="B471" i="1"/>
  <c r="E279" i="1"/>
  <c r="B55" i="1"/>
  <c r="B57" i="1"/>
  <c r="C75" i="1"/>
  <c r="B52" i="1"/>
  <c r="C52" i="1"/>
  <c r="E52" i="1"/>
  <c r="F52" i="1"/>
  <c r="G52" i="1"/>
  <c r="G4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C2" i="1"/>
  <c r="E2" i="1"/>
  <c r="C3" i="1"/>
  <c r="E3" i="1"/>
  <c r="C4" i="1"/>
  <c r="E4" i="1"/>
  <c r="C5" i="1"/>
  <c r="E5" i="1"/>
  <c r="C6" i="1"/>
  <c r="E6" i="1"/>
  <c r="C7" i="1"/>
  <c r="E7" i="1"/>
  <c r="C8" i="1"/>
  <c r="E8" i="1"/>
  <c r="C9" i="1"/>
  <c r="E9" i="1"/>
  <c r="C10" i="1"/>
  <c r="E10" i="1"/>
  <c r="C11" i="1"/>
  <c r="E11" i="1"/>
  <c r="C12" i="1"/>
  <c r="E12" i="1"/>
  <c r="C13" i="1"/>
  <c r="E13" i="1"/>
  <c r="C14" i="1"/>
  <c r="E14" i="1"/>
  <c r="C15" i="1"/>
  <c r="E15" i="1"/>
  <c r="C16" i="1"/>
  <c r="E16" i="1"/>
  <c r="C17" i="1"/>
  <c r="E17" i="1"/>
  <c r="C18" i="1"/>
  <c r="E18" i="1"/>
  <c r="C19" i="1"/>
  <c r="E19" i="1"/>
  <c r="C20" i="1"/>
  <c r="E20" i="1"/>
  <c r="C21" i="1"/>
  <c r="E21" i="1"/>
  <c r="C22" i="1"/>
  <c r="E22" i="1"/>
  <c r="C23" i="1"/>
  <c r="E23" i="1"/>
  <c r="C24" i="1"/>
  <c r="E24" i="1"/>
  <c r="C25" i="1"/>
  <c r="E25" i="1"/>
  <c r="C26" i="1"/>
  <c r="E26" i="1"/>
  <c r="C27" i="1"/>
  <c r="E27" i="1"/>
  <c r="C28" i="1"/>
  <c r="E28" i="1"/>
  <c r="C29" i="1"/>
  <c r="E29" i="1"/>
  <c r="C30" i="1"/>
  <c r="E30" i="1"/>
  <c r="C31" i="1"/>
  <c r="E31" i="1"/>
  <c r="C32" i="1"/>
  <c r="E32" i="1"/>
  <c r="C33" i="1"/>
  <c r="E33" i="1"/>
  <c r="C34" i="1"/>
  <c r="E34" i="1"/>
  <c r="C35" i="1"/>
  <c r="E35" i="1"/>
  <c r="C36" i="1"/>
  <c r="E36" i="1"/>
  <c r="C37" i="1"/>
  <c r="E37" i="1"/>
  <c r="C38" i="1"/>
  <c r="E38" i="1"/>
  <c r="C39" i="1"/>
  <c r="E39" i="1"/>
  <c r="C40" i="1"/>
  <c r="E40" i="1"/>
  <c r="C41" i="1"/>
  <c r="E41" i="1"/>
  <c r="C42" i="1"/>
  <c r="E42" i="1"/>
  <c r="C43" i="1"/>
  <c r="E43" i="1"/>
  <c r="C44" i="1"/>
  <c r="E44" i="1"/>
  <c r="C45" i="1"/>
  <c r="E45" i="1"/>
  <c r="C46" i="1"/>
  <c r="E46" i="1"/>
  <c r="C47" i="1"/>
  <c r="E47" i="1"/>
  <c r="C48" i="1"/>
  <c r="E48" i="1"/>
  <c r="C49" i="1"/>
  <c r="E49" i="1"/>
  <c r="C50" i="1"/>
  <c r="E50" i="1"/>
  <c r="C51" i="1"/>
  <c r="E51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61" i="1"/>
  <c r="E61" i="1"/>
  <c r="C62" i="1"/>
  <c r="E62" i="1"/>
  <c r="C63" i="1"/>
  <c r="E63" i="1"/>
  <c r="C64" i="1"/>
  <c r="E64" i="1"/>
  <c r="C65" i="1"/>
  <c r="E65" i="1"/>
  <c r="C66" i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E73" i="1"/>
  <c r="C74" i="1"/>
  <c r="E74" i="1"/>
  <c r="E75" i="1"/>
  <c r="C76" i="1"/>
  <c r="E76" i="1"/>
  <c r="C77" i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85" i="1"/>
  <c r="E85" i="1"/>
  <c r="C86" i="1"/>
  <c r="E86" i="1"/>
  <c r="C87" i="1"/>
  <c r="E87" i="1"/>
  <c r="C88" i="1"/>
  <c r="E88" i="1"/>
  <c r="C89" i="1"/>
  <c r="E89" i="1"/>
  <c r="C90" i="1"/>
  <c r="E90" i="1"/>
  <c r="C91" i="1"/>
  <c r="E91" i="1"/>
  <c r="C92" i="1"/>
  <c r="E92" i="1"/>
  <c r="C93" i="1"/>
  <c r="E93" i="1"/>
  <c r="C94" i="1"/>
  <c r="E94" i="1"/>
  <c r="C95" i="1"/>
  <c r="E95" i="1"/>
  <c r="C96" i="1"/>
  <c r="E96" i="1"/>
  <c r="C97" i="1"/>
  <c r="E97" i="1"/>
  <c r="C98" i="1"/>
  <c r="E98" i="1"/>
  <c r="C99" i="1"/>
  <c r="E99" i="1"/>
  <c r="C100" i="1"/>
  <c r="E100" i="1"/>
  <c r="C101" i="1"/>
  <c r="E101" i="1"/>
  <c r="C102" i="1"/>
  <c r="E102" i="1"/>
  <c r="E103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3" i="1"/>
  <c r="E143" i="1"/>
  <c r="C144" i="1"/>
  <c r="E144" i="1"/>
  <c r="C145" i="1"/>
  <c r="E145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C172" i="1"/>
  <c r="E172" i="1"/>
  <c r="C173" i="1"/>
  <c r="E173" i="1"/>
  <c r="C174" i="1"/>
  <c r="E174" i="1"/>
  <c r="C175" i="1"/>
  <c r="E175" i="1"/>
  <c r="C176" i="1"/>
  <c r="E176" i="1"/>
  <c r="C177" i="1"/>
  <c r="E177" i="1"/>
  <c r="C178" i="1"/>
  <c r="E178" i="1"/>
  <c r="C179" i="1"/>
  <c r="E179" i="1"/>
  <c r="C180" i="1"/>
  <c r="E180" i="1"/>
  <c r="C181" i="1"/>
  <c r="E181" i="1"/>
  <c r="C182" i="1"/>
  <c r="E182" i="1"/>
  <c r="C183" i="1"/>
  <c r="E183" i="1"/>
  <c r="C184" i="1"/>
  <c r="E184" i="1"/>
  <c r="C185" i="1"/>
  <c r="E185" i="1"/>
  <c r="C186" i="1"/>
  <c r="E186" i="1"/>
  <c r="C187" i="1"/>
  <c r="E187" i="1"/>
  <c r="C188" i="1"/>
  <c r="E188" i="1"/>
  <c r="C189" i="1"/>
  <c r="E189" i="1"/>
  <c r="C190" i="1"/>
  <c r="E190" i="1"/>
  <c r="C191" i="1"/>
  <c r="E191" i="1"/>
  <c r="C192" i="1"/>
  <c r="E192" i="1"/>
  <c r="C193" i="1"/>
  <c r="E193" i="1"/>
  <c r="C194" i="1"/>
  <c r="E194" i="1"/>
  <c r="C195" i="1"/>
  <c r="E195" i="1"/>
  <c r="C196" i="1"/>
  <c r="E196" i="1"/>
  <c r="C197" i="1"/>
  <c r="E197" i="1"/>
  <c r="C198" i="1"/>
  <c r="E198" i="1"/>
  <c r="C199" i="1"/>
  <c r="E199" i="1"/>
  <c r="C200" i="1"/>
  <c r="E200" i="1"/>
  <c r="C201" i="1"/>
  <c r="E201" i="1"/>
  <c r="C202" i="1"/>
  <c r="E202" i="1"/>
  <c r="C203" i="1"/>
  <c r="E203" i="1"/>
  <c r="C204" i="1"/>
  <c r="E204" i="1"/>
  <c r="C205" i="1"/>
  <c r="E205" i="1"/>
  <c r="C206" i="1"/>
  <c r="E206" i="1"/>
  <c r="C207" i="1"/>
  <c r="E207" i="1"/>
  <c r="C208" i="1"/>
  <c r="E208" i="1"/>
  <c r="C209" i="1"/>
  <c r="E209" i="1"/>
  <c r="C210" i="1"/>
  <c r="E210" i="1"/>
  <c r="C211" i="1"/>
  <c r="E211" i="1"/>
  <c r="C212" i="1"/>
  <c r="E212" i="1"/>
  <c r="C213" i="1"/>
  <c r="E213" i="1"/>
  <c r="C214" i="1"/>
  <c r="E214" i="1"/>
  <c r="C215" i="1"/>
  <c r="E215" i="1"/>
  <c r="C216" i="1"/>
  <c r="E216" i="1"/>
  <c r="C217" i="1"/>
  <c r="E217" i="1"/>
  <c r="C218" i="1"/>
  <c r="E218" i="1"/>
  <c r="C219" i="1"/>
  <c r="E219" i="1"/>
  <c r="C220" i="1"/>
  <c r="E220" i="1"/>
  <c r="C221" i="1"/>
  <c r="E221" i="1"/>
  <c r="C222" i="1"/>
  <c r="E222" i="1"/>
  <c r="C223" i="1"/>
  <c r="E223" i="1"/>
  <c r="C224" i="1"/>
  <c r="E224" i="1"/>
  <c r="C225" i="1"/>
  <c r="E225" i="1"/>
  <c r="C226" i="1"/>
  <c r="E226" i="1"/>
  <c r="C227" i="1"/>
  <c r="E227" i="1"/>
  <c r="C228" i="1"/>
  <c r="E228" i="1"/>
  <c r="C229" i="1"/>
  <c r="E229" i="1"/>
  <c r="C230" i="1"/>
  <c r="E230" i="1"/>
  <c r="C231" i="1"/>
  <c r="E231" i="1"/>
  <c r="E232" i="1"/>
  <c r="C233" i="1"/>
  <c r="E233" i="1"/>
  <c r="C234" i="1"/>
  <c r="E234" i="1"/>
  <c r="C235" i="1"/>
  <c r="E235" i="1"/>
  <c r="C236" i="1"/>
  <c r="E236" i="1"/>
  <c r="C237" i="1"/>
  <c r="E237" i="1"/>
  <c r="C238" i="1"/>
  <c r="E238" i="1"/>
  <c r="C239" i="1"/>
  <c r="E239" i="1"/>
  <c r="C240" i="1"/>
  <c r="E240" i="1"/>
  <c r="C241" i="1"/>
  <c r="E241" i="1"/>
  <c r="C242" i="1"/>
  <c r="E242" i="1"/>
  <c r="C243" i="1"/>
  <c r="E243" i="1"/>
  <c r="C244" i="1"/>
  <c r="E244" i="1"/>
  <c r="C245" i="1"/>
  <c r="E245" i="1"/>
  <c r="C246" i="1"/>
  <c r="E246" i="1"/>
  <c r="C247" i="1"/>
  <c r="E247" i="1"/>
  <c r="C248" i="1"/>
  <c r="E248" i="1"/>
  <c r="C249" i="1"/>
  <c r="E249" i="1"/>
  <c r="C250" i="1"/>
  <c r="E250" i="1"/>
  <c r="C251" i="1"/>
  <c r="E251" i="1"/>
  <c r="C252" i="1"/>
  <c r="E252" i="1"/>
  <c r="C253" i="1"/>
  <c r="E253" i="1"/>
  <c r="C254" i="1"/>
  <c r="E254" i="1"/>
  <c r="C255" i="1"/>
  <c r="E255" i="1"/>
  <c r="C256" i="1"/>
  <c r="E256" i="1"/>
  <c r="C257" i="1"/>
  <c r="E257" i="1"/>
  <c r="C258" i="1"/>
  <c r="E258" i="1"/>
  <c r="C259" i="1"/>
  <c r="E259" i="1"/>
  <c r="C260" i="1"/>
  <c r="E260" i="1"/>
  <c r="C261" i="1"/>
  <c r="E261" i="1"/>
  <c r="C262" i="1"/>
  <c r="E262" i="1"/>
  <c r="C263" i="1"/>
  <c r="E263" i="1"/>
  <c r="C264" i="1"/>
  <c r="E264" i="1"/>
  <c r="C265" i="1"/>
  <c r="E265" i="1"/>
  <c r="C266" i="1"/>
  <c r="E266" i="1"/>
  <c r="C267" i="1"/>
  <c r="E267" i="1"/>
  <c r="C268" i="1"/>
  <c r="E268" i="1"/>
  <c r="C269" i="1"/>
  <c r="E269" i="1"/>
  <c r="C270" i="1"/>
  <c r="E270" i="1"/>
  <c r="C271" i="1"/>
  <c r="E271" i="1"/>
  <c r="C272" i="1"/>
  <c r="E272" i="1"/>
  <c r="C273" i="1"/>
  <c r="E273" i="1"/>
  <c r="C274" i="1"/>
  <c r="E274" i="1"/>
  <c r="C275" i="1"/>
  <c r="E275" i="1"/>
  <c r="C276" i="1"/>
  <c r="E276" i="1"/>
  <c r="C277" i="1"/>
  <c r="E277" i="1"/>
  <c r="C278" i="1"/>
  <c r="E278" i="1"/>
  <c r="C280" i="1"/>
  <c r="E280" i="1"/>
  <c r="C281" i="1"/>
  <c r="E281" i="1"/>
  <c r="C282" i="1"/>
  <c r="E282" i="1"/>
  <c r="C283" i="1"/>
  <c r="E283" i="1"/>
  <c r="C284" i="1"/>
  <c r="E284" i="1"/>
  <c r="C285" i="1"/>
  <c r="E285" i="1"/>
  <c r="C286" i="1"/>
  <c r="E286" i="1"/>
  <c r="C287" i="1"/>
  <c r="E287" i="1"/>
  <c r="C288" i="1"/>
  <c r="E288" i="1"/>
  <c r="C289" i="1"/>
  <c r="E289" i="1"/>
  <c r="C290" i="1"/>
  <c r="E290" i="1"/>
  <c r="C291" i="1"/>
  <c r="E291" i="1"/>
  <c r="C292" i="1"/>
  <c r="E292" i="1"/>
  <c r="C293" i="1"/>
  <c r="E293" i="1"/>
  <c r="C294" i="1"/>
  <c r="E294" i="1"/>
  <c r="C295" i="1"/>
  <c r="E295" i="1"/>
  <c r="C296" i="1"/>
  <c r="E296" i="1"/>
  <c r="C297" i="1"/>
  <c r="E297" i="1"/>
  <c r="C298" i="1"/>
  <c r="E298" i="1"/>
  <c r="C299" i="1"/>
  <c r="E299" i="1"/>
  <c r="C300" i="1"/>
  <c r="E300" i="1"/>
  <c r="C301" i="1"/>
  <c r="E301" i="1"/>
  <c r="C302" i="1"/>
  <c r="E302" i="1"/>
  <c r="C303" i="1"/>
  <c r="E303" i="1"/>
  <c r="C304" i="1"/>
  <c r="E304" i="1"/>
  <c r="C305" i="1"/>
  <c r="E305" i="1"/>
  <c r="C306" i="1"/>
  <c r="E306" i="1"/>
  <c r="C307" i="1"/>
  <c r="E307" i="1"/>
  <c r="C308" i="1"/>
  <c r="E308" i="1"/>
  <c r="C309" i="1"/>
  <c r="E309" i="1"/>
  <c r="C310" i="1"/>
  <c r="E310" i="1"/>
  <c r="C311" i="1"/>
  <c r="E311" i="1"/>
  <c r="C312" i="1"/>
  <c r="E312" i="1"/>
  <c r="C313" i="1"/>
  <c r="E313" i="1"/>
  <c r="C314" i="1"/>
  <c r="E314" i="1"/>
  <c r="C315" i="1"/>
  <c r="E315" i="1"/>
  <c r="C316" i="1"/>
  <c r="E316" i="1"/>
  <c r="C317" i="1"/>
  <c r="E317" i="1"/>
  <c r="C318" i="1"/>
  <c r="E318" i="1"/>
  <c r="C319" i="1"/>
  <c r="E319" i="1"/>
  <c r="C320" i="1"/>
  <c r="E320" i="1"/>
  <c r="C321" i="1"/>
  <c r="E321" i="1"/>
  <c r="C322" i="1"/>
  <c r="E322" i="1"/>
  <c r="C323" i="1"/>
  <c r="E323" i="1"/>
  <c r="C324" i="1"/>
  <c r="E324" i="1"/>
  <c r="C325" i="1"/>
  <c r="E325" i="1"/>
  <c r="C326" i="1"/>
  <c r="E326" i="1"/>
  <c r="C327" i="1"/>
  <c r="E327" i="1"/>
  <c r="C328" i="1"/>
  <c r="E328" i="1"/>
  <c r="C329" i="1"/>
  <c r="E329" i="1"/>
  <c r="C330" i="1"/>
  <c r="E330" i="1"/>
  <c r="C331" i="1"/>
  <c r="E331" i="1"/>
  <c r="C332" i="1"/>
  <c r="E332" i="1"/>
  <c r="C333" i="1"/>
  <c r="E333" i="1"/>
  <c r="C334" i="1"/>
  <c r="E334" i="1"/>
  <c r="C335" i="1"/>
  <c r="E335" i="1"/>
  <c r="C336" i="1"/>
  <c r="E336" i="1"/>
  <c r="C337" i="1"/>
  <c r="E337" i="1"/>
  <c r="C338" i="1"/>
  <c r="E338" i="1"/>
  <c r="C339" i="1"/>
  <c r="E339" i="1"/>
  <c r="C340" i="1"/>
  <c r="E340" i="1"/>
  <c r="C341" i="1"/>
  <c r="E341" i="1"/>
  <c r="C342" i="1"/>
  <c r="E342" i="1"/>
  <c r="C343" i="1"/>
  <c r="E343" i="1"/>
  <c r="C344" i="1"/>
  <c r="E344" i="1"/>
  <c r="C345" i="1"/>
  <c r="E345" i="1"/>
  <c r="C346" i="1"/>
  <c r="E346" i="1"/>
  <c r="C347" i="1"/>
  <c r="E347" i="1"/>
  <c r="C348" i="1"/>
  <c r="E348" i="1"/>
  <c r="C349" i="1"/>
  <c r="E349" i="1"/>
  <c r="C350" i="1"/>
  <c r="E350" i="1"/>
  <c r="C351" i="1"/>
  <c r="E351" i="1"/>
  <c r="C352" i="1"/>
  <c r="E352" i="1"/>
  <c r="C353" i="1"/>
  <c r="E353" i="1"/>
  <c r="C354" i="1"/>
  <c r="E354" i="1"/>
  <c r="C355" i="1"/>
  <c r="E355" i="1"/>
  <c r="C356" i="1"/>
  <c r="E356" i="1"/>
  <c r="C357" i="1"/>
  <c r="E357" i="1"/>
  <c r="C358" i="1"/>
  <c r="E358" i="1"/>
  <c r="C359" i="1"/>
  <c r="E359" i="1"/>
  <c r="C360" i="1"/>
  <c r="E360" i="1"/>
  <c r="C361" i="1"/>
  <c r="E361" i="1"/>
  <c r="C362" i="1"/>
  <c r="E362" i="1"/>
  <c r="C363" i="1"/>
  <c r="E363" i="1"/>
  <c r="C364" i="1"/>
  <c r="E364" i="1"/>
  <c r="C365" i="1"/>
  <c r="E365" i="1"/>
  <c r="C366" i="1"/>
  <c r="E366" i="1"/>
  <c r="C367" i="1"/>
  <c r="E367" i="1"/>
  <c r="C368" i="1"/>
  <c r="E368" i="1"/>
  <c r="C369" i="1"/>
  <c r="E369" i="1"/>
  <c r="C370" i="1"/>
  <c r="E370" i="1"/>
  <c r="C371" i="1"/>
  <c r="E371" i="1"/>
  <c r="C372" i="1"/>
  <c r="E372" i="1"/>
  <c r="C373" i="1"/>
  <c r="E373" i="1"/>
  <c r="C374" i="1"/>
  <c r="E374" i="1"/>
  <c r="C375" i="1"/>
  <c r="E375" i="1"/>
  <c r="C376" i="1"/>
  <c r="E376" i="1"/>
  <c r="C377" i="1"/>
  <c r="E377" i="1"/>
  <c r="C378" i="1"/>
  <c r="E378" i="1"/>
  <c r="C379" i="1"/>
  <c r="E379" i="1"/>
  <c r="C380" i="1"/>
  <c r="E380" i="1"/>
  <c r="C381" i="1"/>
  <c r="E381" i="1"/>
  <c r="C382" i="1"/>
  <c r="E382" i="1"/>
  <c r="C383" i="1"/>
  <c r="E383" i="1"/>
  <c r="C384" i="1"/>
  <c r="E384" i="1"/>
  <c r="C385" i="1"/>
  <c r="E385" i="1"/>
  <c r="C386" i="1"/>
  <c r="E386" i="1"/>
  <c r="C387" i="1"/>
  <c r="E387" i="1"/>
  <c r="C388" i="1"/>
  <c r="E388" i="1"/>
  <c r="C389" i="1"/>
  <c r="E389" i="1"/>
  <c r="C390" i="1"/>
  <c r="E390" i="1"/>
  <c r="C391" i="1"/>
  <c r="E391" i="1"/>
  <c r="C392" i="1"/>
  <c r="E392" i="1"/>
  <c r="C393" i="1"/>
  <c r="E393" i="1"/>
  <c r="C394" i="1"/>
  <c r="E394" i="1"/>
  <c r="C395" i="1"/>
  <c r="E395" i="1"/>
  <c r="C396" i="1"/>
  <c r="E396" i="1"/>
  <c r="C397" i="1"/>
  <c r="E397" i="1"/>
  <c r="C398" i="1"/>
  <c r="E398" i="1"/>
  <c r="C399" i="1"/>
  <c r="E399" i="1"/>
  <c r="C400" i="1"/>
  <c r="E400" i="1"/>
  <c r="C401" i="1"/>
  <c r="E401" i="1"/>
  <c r="C402" i="1"/>
  <c r="E402" i="1"/>
  <c r="C403" i="1"/>
  <c r="E403" i="1"/>
  <c r="C404" i="1"/>
  <c r="E404" i="1"/>
  <c r="C405" i="1"/>
  <c r="E405" i="1"/>
  <c r="C406" i="1"/>
  <c r="E406" i="1"/>
  <c r="C407" i="1"/>
  <c r="E407" i="1"/>
  <c r="C408" i="1"/>
  <c r="E408" i="1"/>
  <c r="C409" i="1"/>
  <c r="E409" i="1"/>
  <c r="C410" i="1"/>
  <c r="E410" i="1"/>
  <c r="C411" i="1"/>
  <c r="E411" i="1"/>
  <c r="C412" i="1"/>
  <c r="E412" i="1"/>
  <c r="C413" i="1"/>
  <c r="E413" i="1"/>
  <c r="C414" i="1"/>
  <c r="E414" i="1"/>
  <c r="C415" i="1"/>
  <c r="E415" i="1"/>
  <c r="C416" i="1"/>
  <c r="E416" i="1"/>
  <c r="C417" i="1"/>
  <c r="E417" i="1"/>
  <c r="C418" i="1"/>
  <c r="E418" i="1"/>
  <c r="C419" i="1"/>
  <c r="E419" i="1"/>
  <c r="C420" i="1"/>
  <c r="E420" i="1"/>
  <c r="C421" i="1"/>
  <c r="E421" i="1"/>
  <c r="C422" i="1"/>
  <c r="E422" i="1"/>
  <c r="C423" i="1"/>
  <c r="E423" i="1"/>
  <c r="C424" i="1"/>
  <c r="E424" i="1"/>
  <c r="C425" i="1"/>
  <c r="E425" i="1"/>
  <c r="C426" i="1"/>
  <c r="E426" i="1"/>
  <c r="C427" i="1"/>
  <c r="E427" i="1"/>
  <c r="C428" i="1"/>
  <c r="E428" i="1"/>
  <c r="C429" i="1"/>
  <c r="E429" i="1"/>
  <c r="C430" i="1"/>
  <c r="E430" i="1"/>
  <c r="C431" i="1"/>
  <c r="E431" i="1"/>
  <c r="C432" i="1"/>
  <c r="E432" i="1"/>
  <c r="C433" i="1"/>
  <c r="E433" i="1"/>
  <c r="C434" i="1"/>
  <c r="E434" i="1"/>
  <c r="C435" i="1"/>
  <c r="E435" i="1"/>
  <c r="C436" i="1"/>
  <c r="E436" i="1"/>
  <c r="C437" i="1"/>
  <c r="E437" i="1"/>
  <c r="C438" i="1"/>
  <c r="E438" i="1"/>
  <c r="C439" i="1"/>
  <c r="E439" i="1"/>
  <c r="C440" i="1"/>
  <c r="E440" i="1"/>
  <c r="C441" i="1"/>
  <c r="E441" i="1"/>
  <c r="C442" i="1"/>
  <c r="E442" i="1"/>
  <c r="C443" i="1"/>
  <c r="E443" i="1"/>
  <c r="C444" i="1"/>
  <c r="E444" i="1"/>
  <c r="C445" i="1"/>
  <c r="E445" i="1"/>
  <c r="C446" i="1"/>
  <c r="E446" i="1"/>
  <c r="C447" i="1"/>
  <c r="E447" i="1"/>
  <c r="C448" i="1"/>
  <c r="E448" i="1"/>
  <c r="C449" i="1"/>
  <c r="E449" i="1"/>
  <c r="C450" i="1"/>
  <c r="E450" i="1"/>
  <c r="C451" i="1"/>
  <c r="E451" i="1"/>
  <c r="C452" i="1"/>
  <c r="E452" i="1"/>
  <c r="C453" i="1"/>
  <c r="E453" i="1"/>
  <c r="C454" i="1"/>
  <c r="E454" i="1"/>
  <c r="C455" i="1"/>
  <c r="E455" i="1"/>
  <c r="C456" i="1"/>
  <c r="E456" i="1"/>
  <c r="C457" i="1"/>
  <c r="E457" i="1"/>
  <c r="C458" i="1"/>
  <c r="E458" i="1"/>
  <c r="C459" i="1"/>
  <c r="E459" i="1"/>
  <c r="C460" i="1"/>
  <c r="E460" i="1"/>
  <c r="C461" i="1"/>
  <c r="E461" i="1"/>
  <c r="C462" i="1"/>
  <c r="E462" i="1"/>
  <c r="C463" i="1"/>
  <c r="E463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C470" i="1"/>
  <c r="E470" i="1"/>
  <c r="G2" i="1"/>
  <c r="G3" i="1"/>
  <c r="G4" i="1"/>
  <c r="G5" i="1"/>
  <c r="G6" i="1"/>
  <c r="G7" i="1"/>
  <c r="G8" i="1"/>
  <c r="M8" i="1" s="1"/>
  <c r="G9" i="1"/>
  <c r="G10" i="1"/>
  <c r="G11" i="1"/>
  <c r="M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M29" i="1" s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8" i="1"/>
  <c r="G49" i="1"/>
  <c r="G50" i="1"/>
  <c r="G51" i="1"/>
  <c r="M51" i="1" s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M68" i="1" s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M88" i="1" s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M105" i="1" s="1"/>
  <c r="G106" i="1"/>
  <c r="G107" i="1"/>
  <c r="G108" i="1"/>
  <c r="G109" i="1"/>
  <c r="G110" i="1"/>
  <c r="G111" i="1"/>
  <c r="M111" i="1" s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M127" i="1" s="1"/>
  <c r="G128" i="1"/>
  <c r="G129" i="1"/>
  <c r="G130" i="1"/>
  <c r="G131" i="1"/>
  <c r="G132" i="1"/>
  <c r="M132" i="1" s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M146" i="1" s="1"/>
  <c r="G147" i="1"/>
  <c r="M147" i="1" s="1"/>
  <c r="G148" i="1"/>
  <c r="G149" i="1"/>
  <c r="G150" i="1"/>
  <c r="G151" i="1"/>
  <c r="G152" i="1"/>
  <c r="G153" i="1"/>
  <c r="G154" i="1"/>
  <c r="G155" i="1"/>
  <c r="M155" i="1" s="1"/>
  <c r="G156" i="1"/>
  <c r="G157" i="1"/>
  <c r="G158" i="1"/>
  <c r="G159" i="1"/>
  <c r="G160" i="1"/>
  <c r="M160" i="1" s="1"/>
  <c r="G161" i="1"/>
  <c r="G162" i="1"/>
  <c r="G163" i="1"/>
  <c r="G164" i="1"/>
  <c r="G165" i="1"/>
  <c r="G166" i="1"/>
  <c r="G167" i="1"/>
  <c r="G168" i="1"/>
  <c r="G169" i="1"/>
  <c r="G170" i="1"/>
  <c r="G171" i="1"/>
  <c r="G172" i="1"/>
  <c r="M172" i="1" s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M199" i="1" s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M216" i="1" s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M240" i="1" s="1"/>
  <c r="G241" i="1"/>
  <c r="M241" i="1" s="1"/>
  <c r="G242" i="1"/>
  <c r="G243" i="1"/>
  <c r="G244" i="1"/>
  <c r="G245" i="1"/>
  <c r="G246" i="1"/>
  <c r="M246" i="1" s="1"/>
  <c r="G247" i="1"/>
  <c r="G248" i="1"/>
  <c r="G249" i="1"/>
  <c r="G250" i="1"/>
  <c r="G251" i="1"/>
  <c r="G252" i="1"/>
  <c r="M252" i="1" s="1"/>
  <c r="G253" i="1"/>
  <c r="G254" i="1"/>
  <c r="G255" i="1"/>
  <c r="G256" i="1"/>
  <c r="G257" i="1"/>
  <c r="G258" i="1"/>
  <c r="G259" i="1"/>
  <c r="G260" i="1"/>
  <c r="M260" i="1" s="1"/>
  <c r="G261" i="1"/>
  <c r="G262" i="1"/>
  <c r="G263" i="1"/>
  <c r="G264" i="1"/>
  <c r="G265" i="1"/>
  <c r="M265" i="1" s="1"/>
  <c r="G266" i="1"/>
  <c r="G267" i="1"/>
  <c r="M267" i="1" s="1"/>
  <c r="G268" i="1"/>
  <c r="G269" i="1"/>
  <c r="G270" i="1"/>
  <c r="G271" i="1"/>
  <c r="G272" i="1"/>
  <c r="G273" i="1"/>
  <c r="G274" i="1"/>
  <c r="G275" i="1"/>
  <c r="G276" i="1"/>
  <c r="G277" i="1"/>
  <c r="M277" i="1" s="1"/>
  <c r="G278" i="1"/>
  <c r="G279" i="1"/>
  <c r="G280" i="1"/>
  <c r="G281" i="1"/>
  <c r="G282" i="1"/>
  <c r="G283" i="1"/>
  <c r="G284" i="1"/>
  <c r="G285" i="1"/>
  <c r="G286" i="1"/>
  <c r="M286" i="1" s="1"/>
  <c r="G287" i="1"/>
  <c r="G288" i="1"/>
  <c r="G289" i="1"/>
  <c r="G290" i="1"/>
  <c r="G291" i="1"/>
  <c r="G292" i="1"/>
  <c r="G293" i="1"/>
  <c r="G294" i="1"/>
  <c r="G295" i="1"/>
  <c r="G296" i="1"/>
  <c r="G297" i="1"/>
  <c r="M297" i="1" s="1"/>
  <c r="G298" i="1"/>
  <c r="G299" i="1"/>
  <c r="G300" i="1"/>
  <c r="G301" i="1"/>
  <c r="G302" i="1"/>
  <c r="M302" i="1" s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M343" i="1" s="1"/>
  <c r="G344" i="1"/>
  <c r="G345" i="1"/>
  <c r="G346" i="1"/>
  <c r="G347" i="1"/>
  <c r="M347" i="1" s="1"/>
  <c r="G348" i="1"/>
  <c r="G349" i="1"/>
  <c r="G350" i="1"/>
  <c r="G351" i="1"/>
  <c r="M351" i="1" s="1"/>
  <c r="G352" i="1"/>
  <c r="G353" i="1"/>
  <c r="G354" i="1"/>
  <c r="G355" i="1"/>
  <c r="G356" i="1"/>
  <c r="M356" i="1" s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M376" i="1" s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M420" i="1" s="1"/>
  <c r="G421" i="1"/>
  <c r="M421" i="1" s="1"/>
  <c r="G422" i="1"/>
  <c r="G423" i="1"/>
  <c r="G424" i="1"/>
  <c r="M424" i="1" s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M440" i="1" s="1"/>
  <c r="G441" i="1"/>
  <c r="G442" i="1"/>
  <c r="M442" i="1" s="1"/>
  <c r="G443" i="1"/>
  <c r="G444" i="1"/>
  <c r="M444" i="1" s="1"/>
  <c r="G445" i="1"/>
  <c r="G446" i="1"/>
  <c r="G447" i="1"/>
  <c r="G448" i="1"/>
  <c r="G449" i="1"/>
  <c r="G450" i="1"/>
  <c r="G451" i="1"/>
  <c r="G452" i="1"/>
  <c r="G453" i="1"/>
  <c r="G454" i="1"/>
  <c r="G455" i="1"/>
  <c r="G456" i="1"/>
  <c r="M456" i="1" s="1"/>
  <c r="G457" i="1"/>
  <c r="M457" i="1" s="1"/>
  <c r="G458" i="1"/>
  <c r="G459" i="1"/>
  <c r="M459" i="1" s="1"/>
  <c r="G460" i="1"/>
  <c r="G461" i="1"/>
  <c r="G462" i="1"/>
  <c r="G463" i="1"/>
  <c r="G464" i="1"/>
  <c r="G465" i="1"/>
  <c r="G466" i="1"/>
  <c r="G467" i="1"/>
  <c r="M467" i="1" s="1"/>
  <c r="G468" i="1"/>
  <c r="G469" i="1"/>
  <c r="G47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3" i="1"/>
  <c r="B54" i="1"/>
  <c r="B56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Hennessy (NHS Greater Glasgow and Clyde)</author>
  </authors>
  <commentList>
    <comment ref="Y1" authorId="0" shapeId="0" xr:uid="{3FB2CE5F-AD0E-446B-B24D-67F5F0777429}">
      <text>
        <r>
          <rPr>
            <sz val="11"/>
            <color theme="1"/>
            <rFont val="Aptos Narrow"/>
            <family val="2"/>
            <scheme val="minor"/>
          </rPr>
          <t>Martin Hennessy (NHS Greater Glasgow and Clyde):
Was ERCP attempted prior to PTC for this episode of obstruction?</t>
        </r>
      </text>
    </comment>
  </commentList>
</comments>
</file>

<file path=xl/sharedStrings.xml><?xml version="1.0" encoding="utf-8"?>
<sst xmlns="http://schemas.openxmlformats.org/spreadsheetml/2006/main" count="3001" uniqueCount="53">
  <si>
    <t>CHI</t>
  </si>
  <si>
    <t>dupCHI</t>
  </si>
  <si>
    <t>DOB</t>
  </si>
  <si>
    <t>eventDate</t>
  </si>
  <si>
    <t>ageProcedure</t>
  </si>
  <si>
    <t>Sex</t>
  </si>
  <si>
    <t>daysSince</t>
  </si>
  <si>
    <t>Code</t>
  </si>
  <si>
    <t>Site</t>
  </si>
  <si>
    <t>Alive</t>
  </si>
  <si>
    <t>dateDeath</t>
  </si>
  <si>
    <t>daysDeath</t>
  </si>
  <si>
    <t>Survival</t>
  </si>
  <si>
    <t>Hb</t>
  </si>
  <si>
    <t>WCC</t>
  </si>
  <si>
    <t>Plts</t>
  </si>
  <si>
    <t>PT</t>
  </si>
  <si>
    <t>Urea</t>
  </si>
  <si>
    <t>Cr</t>
  </si>
  <si>
    <t>Bili</t>
  </si>
  <si>
    <t>Alb</t>
  </si>
  <si>
    <t>CRP</t>
  </si>
  <si>
    <t>Weight</t>
  </si>
  <si>
    <t>Diag</t>
  </si>
  <si>
    <t>ERCP</t>
  </si>
  <si>
    <t>Inpatient mortality</t>
  </si>
  <si>
    <t>Column1</t>
  </si>
  <si>
    <t>IECBDD</t>
  </si>
  <si>
    <t>G107H</t>
  </si>
  <si>
    <t>No</t>
  </si>
  <si>
    <t>Presumed or confirmed malignant obstruction</t>
  </si>
  <si>
    <t>Yes</t>
  </si>
  <si>
    <t>FPTCH</t>
  </si>
  <si>
    <t>Presumed or confirmed benign obstruction</t>
  </si>
  <si>
    <t>QEUH</t>
  </si>
  <si>
    <t>IBIIXD</t>
  </si>
  <si>
    <t>IBILIS</t>
  </si>
  <si>
    <t>IBILXD</t>
  </si>
  <si>
    <t>IBILDD</t>
  </si>
  <si>
    <t>NHL</t>
  </si>
  <si>
    <t>IBILDG</t>
  </si>
  <si>
    <t xml:space="preserve"> gallbladder ca hepaticojejunostomy reconstruction of CHD, with resultant stricture</t>
  </si>
  <si>
    <t xml:space="preserve">No </t>
  </si>
  <si>
    <t>active bleed following PTC requiring embo</t>
  </si>
  <si>
    <t>d/c to hospice 14/10</t>
  </si>
  <si>
    <t>liver  injury during  PTC</t>
  </si>
  <si>
    <t xml:space="preserve">?stricture post whipples then 2 yrs later recurrence </t>
  </si>
  <si>
    <t xml:space="preserve">Yes </t>
  </si>
  <si>
    <t xml:space="preserve">?malignant prev whipples </t>
  </si>
  <si>
    <t>IPMN</t>
  </si>
  <si>
    <t>?cancer met breast cancer</t>
  </si>
  <si>
    <t>IBILMS</t>
  </si>
  <si>
    <t>?benign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</si>
</sst>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4" fontId="0" fillId="0" borderId="0" xfId="0" applyNumberFormat="1" applyAlignment="1">
      <alignment wrapText="1"/>
    </xf>
    <xf numFmtId="14" fontId="1" fillId="0" borderId="0" xfId="0" applyNumberFormat="1" applyFont="1"/>
    <xf numFmtId="15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2DAAA-F30C-4C8A-8AEB-BC036C5F05B0}" name="Table1" displayName="Table1" ref="A1:AA500" totalsRowShown="0">
  <autoFilter ref="A1:AA500" xr:uid="{5232DAAA-F30C-4C8A-8AEB-BC036C5F05B0}"/>
  <sortState xmlns:xlrd2="http://schemas.microsoft.com/office/spreadsheetml/2017/richdata2" ref="A2:I470">
    <sortCondition ref="D1:D470"/>
  </sortState>
  <tableColumns count="27">
    <tableColumn id="1" xr3:uid="{64A2CEFA-5D4A-4FBB-B601-E639BBB6AE18}" name="CHI"/>
    <tableColumn id="5" xr3:uid="{9F4401D3-CC5A-4527-B426-D00458BFCBCF}" name="dupCHI" dataDxfId="7">
      <calculatedColumnFormula>COUNTIF(A:A,A2)</calculatedColumnFormula>
    </tableColumn>
    <tableColumn id="12" xr3:uid="{4B370B84-331F-4FA1-B70B-41F966556E84}" name="DOB" dataDxfId="6">
      <calculatedColumnFormula>DATE(
    IF(VALUE(MID(TEXT(A2,"0000000000"),5,2)) &gt; VALUE(TEXT(TODAY(),"YY")),
       1900 + VALUE(MID(TEXT(A2,"0000000000"),5,2)),
       2000 + VALUE(MID(TEXT(A2,"0000000000"),5,2))
    ),
    VALUE(MID(TEXT(A2,"0000000000"),3,2)),
    VALUE(LEFT(TEXT(A2,"0000000000"),2))
)</calculatedColumnFormula>
    </tableColumn>
    <tableColumn id="2" xr3:uid="{F4B1808E-D001-47C8-A1A4-2F3DDD630229}" name="eventDate" dataDxfId="5"/>
    <tableColumn id="13" xr3:uid="{B8518E9C-0875-425A-BA97-0D7747B1D716}" name="ageProcedure" dataDxfId="4">
      <calculatedColumnFormula>DATEDIF(Table1[[#This Row],[DOB]],Table1[[#This Row],[eventDate]],"Y")</calculatedColumnFormula>
    </tableColumn>
    <tableColumn id="14" xr3:uid="{E114524F-D910-4F00-87C7-4CFFFA402921}" name="Sex" dataDxfId="3">
      <calculatedColumnFormula>IF(MOD(VALUE(MID(TEXT(A2,"0000000000"),9,1)),2)=0,"Woman","Man")</calculatedColumnFormula>
    </tableColumn>
    <tableColumn id="6" xr3:uid="{E7B1A082-14DA-4055-A666-16099BFE6372}" name="daysSince" dataDxfId="2">
      <calculatedColumnFormula>_xlfn.DAYS(TODAY(),Table1[[#This Row],[eventDate]])</calculatedColumnFormula>
    </tableColumn>
    <tableColumn id="3" xr3:uid="{E62A9D6C-6B57-4997-89A3-B1A1A9978EA4}" name="Code"/>
    <tableColumn id="4" xr3:uid="{4F579E57-D889-4F29-A457-F4A264135E54}" name="Site"/>
    <tableColumn id="8" xr3:uid="{3CFFF2BF-9F95-457C-A768-B39FC27A877A}" name="Alive"/>
    <tableColumn id="9" xr3:uid="{1CB0D981-57C3-43EC-914A-20DD283A6223}" name="dateDeath"/>
    <tableColumn id="10" xr3:uid="{9BF0D673-EEA8-443E-B1BD-0307C71945D9}" name="daysDeath" dataDxfId="1">
      <calculatedColumnFormula>IF(J2="No",_xlfn.DAYS(K2,D2),"")</calculatedColumnFormula>
    </tableColumn>
    <tableColumn id="11" xr3:uid="{C681C56C-14D4-47DB-A60B-4EC98B36E1F3}" name="Survival" dataDxfId="0">
      <calculatedColumnFormula>IF(Table1[[#This Row],[Alive]]="No",Table1[[#This Row],[daysDeath]],Table1[[#This Row],[daysSince]])</calculatedColumnFormula>
    </tableColumn>
    <tableColumn id="7" xr3:uid="{BB398E29-33F9-4309-A151-D018A75F7E8A}" name="Hb"/>
    <tableColumn id="15" xr3:uid="{24D0416A-2A96-4B4D-B47B-9EE2D960F815}" name="WCC"/>
    <tableColumn id="16" xr3:uid="{2AC76733-352A-410A-B8F0-B98387A031D4}" name="Plts"/>
    <tableColumn id="17" xr3:uid="{971E886A-B095-4C76-82C9-B644CFD332D4}" name="PT"/>
    <tableColumn id="18" xr3:uid="{6435C8D2-B132-474E-A619-0FC7CF7C9195}" name="Urea"/>
    <tableColumn id="19" xr3:uid="{0E402483-F7C5-4D55-9908-F9FE36C1ECF9}" name="Cr"/>
    <tableColumn id="20" xr3:uid="{303B2A26-D4E8-4297-886D-A415F20AC680}" name="Bili"/>
    <tableColumn id="21" xr3:uid="{207DB0AF-A8BF-45E9-963C-E220C19F53C6}" name="Alb"/>
    <tableColumn id="22" xr3:uid="{0D4AAF2C-995C-49C4-BB87-54239C76F6D9}" name="CRP"/>
    <tableColumn id="23" xr3:uid="{210AD5F1-B26D-4600-A2B1-37C744CF2C8C}" name="Weight"/>
    <tableColumn id="24" xr3:uid="{34962B14-CF9C-434D-8455-0F14426E082B}" name="Diag"/>
    <tableColumn id="25" xr3:uid="{BD41B737-CC31-4585-A44C-EC3273B23635}" name="ERCP"/>
    <tableColumn id="26" xr3:uid="{4E62C76D-A019-4C46-976A-382DAE176A90}" name="Inpatient mortality"/>
    <tableColumn id="27" xr3:uid="{C15A1AC8-223C-4C42-9DE3-F27B8152BC7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0"/>
  <sheetViews>
    <sheetView tabSelected="1" workbookViewId="0">
      <selection activeCell="H68" sqref="H68"/>
    </sheetView>
  </sheetViews>
  <sheetFormatPr defaultRowHeight="15"/>
  <cols>
    <col min="1" max="1" width="15.42578125" customWidth="1"/>
    <col min="2" max="3" width="10.85546875" customWidth="1"/>
    <col min="4" max="4" width="12.42578125" style="1" customWidth="1"/>
    <col min="5" max="5" width="14.85546875" style="1" customWidth="1"/>
    <col min="6" max="6" width="13.28515625" style="1" customWidth="1"/>
    <col min="7" max="7" width="12.7109375" style="4" customWidth="1"/>
    <col min="11" max="11" width="18.140625" bestFit="1" customWidth="1"/>
    <col min="12" max="12" width="12.5703125" bestFit="1" customWidth="1"/>
    <col min="13" max="13" width="10.28515625" bestFit="1" customWidth="1"/>
    <col min="23" max="23" width="9.42578125" bestFit="1" customWidth="1"/>
    <col min="24" max="24" width="36.5703125" bestFit="1" customWidth="1"/>
    <col min="26" max="26" width="19.5703125" bestFit="1" customWidth="1"/>
  </cols>
  <sheetData>
    <row r="1" spans="1:27">
      <c r="A1" t="s">
        <v>0</v>
      </c>
      <c r="B1" t="s">
        <v>1</v>
      </c>
      <c r="C1" t="s">
        <v>2</v>
      </c>
      <c r="D1" s="1" t="s">
        <v>3</v>
      </c>
      <c r="E1" s="5" t="s">
        <v>4</v>
      </c>
      <c r="F1" s="5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30" customHeight="1">
      <c r="A2">
        <v>906679737</v>
      </c>
      <c r="B2" s="2">
        <f>COUNTIF(A:A,A2)</f>
        <v>1</v>
      </c>
      <c r="C2" s="5">
        <f t="shared" ref="C2:C42" ca="1" si="0">DATE(
    IF(VALUE(MID(TEXT(A2,"0000000000"),5,2)) &gt; VALUE(TEXT(TODAY(),"YY")),
       1900 + VALUE(MID(TEXT(A2,"0000000000"),5,2)),
       2000 + VALUE(MID(TEXT(A2,"0000000000"),5,2))
    ),
    VALUE(MID(TEXT(A2,"0000000000"),3,2)),
    VALUE(LEFT(TEXT(A2,"0000000000"),2))
)</f>
        <v>24632</v>
      </c>
      <c r="D2" s="1">
        <v>42018</v>
      </c>
      <c r="E2" s="4">
        <f ca="1">DATEDIF(Table1[[#This Row],[DOB]],Table1[[#This Row],[eventDate]],"Y")</f>
        <v>47</v>
      </c>
      <c r="F2" s="4" t="str">
        <f t="shared" ref="F2:F42" si="1">IF(MOD(VALUE(MID(TEXT(A2,"0000000000"),9,1)),2)=0,"Woman","Man")</f>
        <v>Man</v>
      </c>
      <c r="G2" s="3">
        <f ca="1">_xlfn.DAYS(TODAY(),Table1[[#This Row],[eventDate]])</f>
        <v>4095</v>
      </c>
      <c r="H2" t="s">
        <v>27</v>
      </c>
      <c r="I2" t="s">
        <v>28</v>
      </c>
      <c r="J2" t="s">
        <v>29</v>
      </c>
      <c r="K2" s="1">
        <v>42544</v>
      </c>
      <c r="L2">
        <f t="shared" ref="L2:L42" si="2">IF(J2="No",_xlfn.DAYS(K2,D2),"")</f>
        <v>526</v>
      </c>
      <c r="M2">
        <f>IF(Table1[[#This Row],[Alive]]="No",Table1[[#This Row],[daysDeath]],Table1[[#This Row],[daysSince]])</f>
        <v>526</v>
      </c>
      <c r="N2">
        <v>127</v>
      </c>
      <c r="O2">
        <v>9.6</v>
      </c>
      <c r="P2">
        <v>413</v>
      </c>
      <c r="Q2">
        <v>11</v>
      </c>
      <c r="R2">
        <v>2.6</v>
      </c>
      <c r="S2">
        <v>63</v>
      </c>
      <c r="T2">
        <v>40</v>
      </c>
      <c r="U2">
        <v>29</v>
      </c>
      <c r="V2">
        <v>69</v>
      </c>
      <c r="W2">
        <v>71</v>
      </c>
      <c r="X2" s="2" t="s">
        <v>30</v>
      </c>
      <c r="Y2" t="s">
        <v>31</v>
      </c>
      <c r="Z2" t="s">
        <v>29</v>
      </c>
    </row>
    <row r="3" spans="1:27" ht="30" customHeight="1">
      <c r="A3">
        <v>2504366078</v>
      </c>
      <c r="B3">
        <f>COUNTIF(A:A,A3)</f>
        <v>1</v>
      </c>
      <c r="C3" s="1">
        <f t="shared" ca="1" si="0"/>
        <v>13265</v>
      </c>
      <c r="D3" s="1">
        <v>42024</v>
      </c>
      <c r="E3" s="4">
        <f ca="1">DATEDIF(Table1[[#This Row],[DOB]],Table1[[#This Row],[eventDate]],"Y")</f>
        <v>78</v>
      </c>
      <c r="F3" s="4" t="str">
        <f t="shared" si="1"/>
        <v>Man</v>
      </c>
      <c r="G3" s="4">
        <f ca="1">_xlfn.DAYS(TODAY(),Table1[[#This Row],[eventDate]])</f>
        <v>4089</v>
      </c>
      <c r="H3" t="s">
        <v>32</v>
      </c>
      <c r="I3" t="s">
        <v>28</v>
      </c>
      <c r="J3" t="s">
        <v>29</v>
      </c>
      <c r="K3" s="1">
        <v>42838</v>
      </c>
      <c r="L3">
        <f t="shared" si="2"/>
        <v>814</v>
      </c>
      <c r="M3">
        <f>IF(Table1[[#This Row],[Alive]]="No",Table1[[#This Row],[daysDeath]],Table1[[#This Row],[daysSince]])</f>
        <v>814</v>
      </c>
      <c r="N3">
        <v>132</v>
      </c>
      <c r="O3">
        <v>6.1</v>
      </c>
      <c r="P3">
        <v>292</v>
      </c>
      <c r="Q3">
        <v>12</v>
      </c>
      <c r="R3">
        <v>5.4</v>
      </c>
      <c r="S3">
        <v>96</v>
      </c>
      <c r="T3">
        <v>66</v>
      </c>
      <c r="U3">
        <v>30</v>
      </c>
      <c r="V3">
        <v>12</v>
      </c>
      <c r="X3" s="2" t="s">
        <v>33</v>
      </c>
      <c r="Y3" t="s">
        <v>31</v>
      </c>
      <c r="Z3" t="s">
        <v>29</v>
      </c>
    </row>
    <row r="4" spans="1:27" ht="30" customHeight="1">
      <c r="A4">
        <v>909445222</v>
      </c>
      <c r="B4">
        <f>COUNTIF(A:A,A4)</f>
        <v>1</v>
      </c>
      <c r="C4" s="1">
        <f t="shared" ca="1" si="0"/>
        <v>16324</v>
      </c>
      <c r="D4" s="1">
        <v>42025</v>
      </c>
      <c r="E4" s="4">
        <f ca="1">DATEDIF(Table1[[#This Row],[DOB]],Table1[[#This Row],[eventDate]],"Y")</f>
        <v>70</v>
      </c>
      <c r="F4" s="4" t="str">
        <f t="shared" si="1"/>
        <v>Woman</v>
      </c>
      <c r="G4" s="4">
        <f ca="1">_xlfn.DAYS(TODAY(),Table1[[#This Row],[eventDate]])</f>
        <v>4088</v>
      </c>
      <c r="H4" t="s">
        <v>27</v>
      </c>
      <c r="I4" t="s">
        <v>28</v>
      </c>
      <c r="J4" t="s">
        <v>29</v>
      </c>
      <c r="K4" s="1">
        <v>42123</v>
      </c>
      <c r="L4">
        <f t="shared" si="2"/>
        <v>98</v>
      </c>
      <c r="M4">
        <f>IF(Table1[[#This Row],[Alive]]="No",Table1[[#This Row],[daysDeath]],Table1[[#This Row],[daysSince]])</f>
        <v>98</v>
      </c>
      <c r="N4">
        <v>118</v>
      </c>
      <c r="O4">
        <v>4.7</v>
      </c>
      <c r="P4">
        <v>218</v>
      </c>
      <c r="Q4">
        <v>11</v>
      </c>
      <c r="R4">
        <v>3.1</v>
      </c>
      <c r="S4">
        <v>60</v>
      </c>
      <c r="T4">
        <v>5</v>
      </c>
      <c r="U4">
        <v>28</v>
      </c>
      <c r="V4">
        <v>19</v>
      </c>
      <c r="X4" s="2" t="s">
        <v>30</v>
      </c>
      <c r="Y4" t="s">
        <v>29</v>
      </c>
      <c r="Z4" t="s">
        <v>29</v>
      </c>
    </row>
    <row r="5" spans="1:27" ht="30" customHeight="1">
      <c r="A5">
        <v>1310496269</v>
      </c>
      <c r="B5">
        <f>COUNTIF(A:A,A5)</f>
        <v>1</v>
      </c>
      <c r="C5" s="1">
        <f t="shared" ca="1" si="0"/>
        <v>18184</v>
      </c>
      <c r="D5" s="1">
        <v>42027</v>
      </c>
      <c r="E5" s="4">
        <f ca="1">DATEDIF(Table1[[#This Row],[DOB]],Table1[[#This Row],[eventDate]],"Y")</f>
        <v>65</v>
      </c>
      <c r="F5" s="4" t="str">
        <f t="shared" si="1"/>
        <v>Woman</v>
      </c>
      <c r="G5" s="4">
        <f ca="1">_xlfn.DAYS(TODAY(),Table1[[#This Row],[eventDate]])</f>
        <v>4086</v>
      </c>
      <c r="H5" t="s">
        <v>32</v>
      </c>
      <c r="I5" t="s">
        <v>28</v>
      </c>
      <c r="J5" t="s">
        <v>29</v>
      </c>
      <c r="K5" s="1">
        <v>42105</v>
      </c>
      <c r="L5">
        <f t="shared" si="2"/>
        <v>78</v>
      </c>
      <c r="M5">
        <f>IF(Table1[[#This Row],[Alive]]="No",Table1[[#This Row],[daysDeath]],Table1[[#This Row],[daysSince]])</f>
        <v>78</v>
      </c>
      <c r="N5">
        <v>113</v>
      </c>
      <c r="O5">
        <v>11.1</v>
      </c>
      <c r="P5">
        <v>460</v>
      </c>
      <c r="Q5">
        <v>16</v>
      </c>
      <c r="R5">
        <v>2</v>
      </c>
      <c r="S5">
        <v>36</v>
      </c>
      <c r="T5">
        <v>94</v>
      </c>
      <c r="U5">
        <v>18</v>
      </c>
      <c r="V5">
        <v>122</v>
      </c>
      <c r="W5">
        <v>52.5</v>
      </c>
      <c r="X5" s="2" t="s">
        <v>30</v>
      </c>
      <c r="Y5" t="s">
        <v>31</v>
      </c>
      <c r="Z5" t="s">
        <v>29</v>
      </c>
    </row>
    <row r="6" spans="1:27" ht="30" customHeight="1">
      <c r="A6">
        <v>2512566129</v>
      </c>
      <c r="B6">
        <f>COUNTIF(A:A,A6)</f>
        <v>1</v>
      </c>
      <c r="C6" s="1">
        <f t="shared" ca="1" si="0"/>
        <v>20814</v>
      </c>
      <c r="D6" s="1">
        <v>42061</v>
      </c>
      <c r="E6" s="4">
        <f ca="1">DATEDIF(Table1[[#This Row],[DOB]],Table1[[#This Row],[eventDate]],"Y")</f>
        <v>58</v>
      </c>
      <c r="F6" s="4" t="str">
        <f t="shared" si="1"/>
        <v>Woman</v>
      </c>
      <c r="G6" s="4">
        <f ca="1">_xlfn.DAYS(TODAY(),Table1[[#This Row],[eventDate]])</f>
        <v>4052</v>
      </c>
      <c r="H6" t="s">
        <v>32</v>
      </c>
      <c r="I6" t="s">
        <v>28</v>
      </c>
      <c r="J6" t="s">
        <v>29</v>
      </c>
      <c r="K6" s="1">
        <v>42148</v>
      </c>
      <c r="L6">
        <f t="shared" si="2"/>
        <v>87</v>
      </c>
      <c r="M6">
        <f>IF(Table1[[#This Row],[Alive]]="No",Table1[[#This Row],[daysDeath]],Table1[[#This Row],[daysSince]])</f>
        <v>87</v>
      </c>
      <c r="N6">
        <v>107</v>
      </c>
      <c r="O6">
        <v>5.6</v>
      </c>
      <c r="P6">
        <v>338</v>
      </c>
      <c r="Q6">
        <v>11</v>
      </c>
      <c r="R6">
        <v>3.4</v>
      </c>
      <c r="S6">
        <v>60</v>
      </c>
      <c r="T6">
        <v>426</v>
      </c>
      <c r="U6">
        <v>28</v>
      </c>
      <c r="V6">
        <v>17</v>
      </c>
      <c r="X6" s="2" t="s">
        <v>30</v>
      </c>
      <c r="Y6" t="s">
        <v>31</v>
      </c>
      <c r="Z6" t="s">
        <v>29</v>
      </c>
    </row>
    <row r="7" spans="1:27" ht="30" customHeight="1">
      <c r="A7">
        <v>1911555170</v>
      </c>
      <c r="B7">
        <f>COUNTIF(A:A,A7)</f>
        <v>1</v>
      </c>
      <c r="C7" s="1">
        <f t="shared" ca="1" si="0"/>
        <v>20412</v>
      </c>
      <c r="D7" s="1">
        <v>42061</v>
      </c>
      <c r="E7" s="4">
        <f ca="1">DATEDIF(Table1[[#This Row],[DOB]],Table1[[#This Row],[eventDate]],"Y")</f>
        <v>59</v>
      </c>
      <c r="F7" s="4" t="str">
        <f t="shared" si="1"/>
        <v>Man</v>
      </c>
      <c r="G7" s="4">
        <f ca="1">_xlfn.DAYS(TODAY(),Table1[[#This Row],[eventDate]])</f>
        <v>4052</v>
      </c>
      <c r="H7" t="s">
        <v>32</v>
      </c>
      <c r="I7" t="s">
        <v>28</v>
      </c>
      <c r="J7" t="s">
        <v>29</v>
      </c>
      <c r="K7" s="1">
        <v>42088</v>
      </c>
      <c r="L7">
        <f t="shared" si="2"/>
        <v>27</v>
      </c>
      <c r="M7">
        <f>IF(Table1[[#This Row],[Alive]]="No",Table1[[#This Row],[daysDeath]],Table1[[#This Row],[daysSince]])</f>
        <v>27</v>
      </c>
      <c r="N7">
        <v>100</v>
      </c>
      <c r="O7">
        <v>10.199999999999999</v>
      </c>
      <c r="P7">
        <v>205</v>
      </c>
      <c r="Q7">
        <v>15</v>
      </c>
      <c r="R7">
        <v>3.8</v>
      </c>
      <c r="S7">
        <v>53</v>
      </c>
      <c r="T7">
        <v>88</v>
      </c>
      <c r="U7">
        <v>17</v>
      </c>
      <c r="V7">
        <v>93</v>
      </c>
      <c r="X7" s="2" t="s">
        <v>30</v>
      </c>
      <c r="Y7" t="s">
        <v>31</v>
      </c>
      <c r="Z7" t="s">
        <v>29</v>
      </c>
    </row>
    <row r="8" spans="1:27" ht="30" customHeight="1">
      <c r="A8">
        <v>1306713048</v>
      </c>
      <c r="B8">
        <f>COUNTIF(A:A,A8)</f>
        <v>1</v>
      </c>
      <c r="C8" s="1">
        <f t="shared" ca="1" si="0"/>
        <v>26097</v>
      </c>
      <c r="D8" s="1">
        <v>42063</v>
      </c>
      <c r="E8" s="4">
        <f ca="1">DATEDIF(Table1[[#This Row],[DOB]],Table1[[#This Row],[eventDate]],"Y")</f>
        <v>43</v>
      </c>
      <c r="F8" s="4" t="str">
        <f t="shared" si="1"/>
        <v>Woman</v>
      </c>
      <c r="G8" s="4">
        <f ca="1">_xlfn.DAYS(TODAY(),Table1[[#This Row],[eventDate]])</f>
        <v>4050</v>
      </c>
      <c r="H8" t="s">
        <v>32</v>
      </c>
      <c r="I8" t="s">
        <v>28</v>
      </c>
      <c r="J8" t="s">
        <v>31</v>
      </c>
      <c r="L8" t="str">
        <f t="shared" si="2"/>
        <v/>
      </c>
      <c r="M8">
        <f ca="1">IF(Table1[[#This Row],[Alive]]="No",Table1[[#This Row],[daysDeath]],Table1[[#This Row],[daysSince]])</f>
        <v>4050</v>
      </c>
      <c r="N8">
        <v>79</v>
      </c>
      <c r="O8">
        <v>30.8</v>
      </c>
      <c r="P8">
        <v>457</v>
      </c>
      <c r="Q8">
        <v>14</v>
      </c>
      <c r="R8">
        <v>5.4</v>
      </c>
      <c r="S8">
        <v>54</v>
      </c>
      <c r="T8">
        <v>150</v>
      </c>
      <c r="U8">
        <v>21</v>
      </c>
      <c r="V8">
        <v>157</v>
      </c>
      <c r="W8">
        <v>82</v>
      </c>
      <c r="X8" s="2" t="s">
        <v>33</v>
      </c>
      <c r="Y8" t="s">
        <v>31</v>
      </c>
      <c r="Z8" t="s">
        <v>29</v>
      </c>
    </row>
    <row r="9" spans="1:27" ht="30" customHeight="1">
      <c r="A9">
        <v>2602306045</v>
      </c>
      <c r="B9">
        <f>COUNTIF(A:A,A9)</f>
        <v>1</v>
      </c>
      <c r="C9" s="1">
        <f t="shared" ca="1" si="0"/>
        <v>11015</v>
      </c>
      <c r="D9" s="1">
        <v>42074</v>
      </c>
      <c r="E9" s="4">
        <f ca="1">DATEDIF(Table1[[#This Row],[DOB]],Table1[[#This Row],[eventDate]],"Y")</f>
        <v>85</v>
      </c>
      <c r="F9" s="4" t="str">
        <f t="shared" si="1"/>
        <v>Woman</v>
      </c>
      <c r="G9" s="4">
        <f ca="1">_xlfn.DAYS(TODAY(),Table1[[#This Row],[eventDate]])</f>
        <v>4039</v>
      </c>
      <c r="H9" t="s">
        <v>32</v>
      </c>
      <c r="I9" t="s">
        <v>28</v>
      </c>
      <c r="J9" t="s">
        <v>29</v>
      </c>
      <c r="K9" s="1">
        <v>42080</v>
      </c>
      <c r="L9">
        <f t="shared" si="2"/>
        <v>6</v>
      </c>
      <c r="M9">
        <f>IF(Table1[[#This Row],[Alive]]="No",Table1[[#This Row],[daysDeath]],Table1[[#This Row],[daysSince]])</f>
        <v>6</v>
      </c>
      <c r="N9">
        <v>102</v>
      </c>
      <c r="O9">
        <v>9.1</v>
      </c>
      <c r="P9">
        <v>235</v>
      </c>
      <c r="Q9">
        <v>11</v>
      </c>
      <c r="R9">
        <v>7.2</v>
      </c>
      <c r="S9">
        <v>351</v>
      </c>
      <c r="T9">
        <v>263</v>
      </c>
      <c r="U9">
        <v>14</v>
      </c>
      <c r="V9">
        <v>102</v>
      </c>
      <c r="X9" s="2" t="s">
        <v>30</v>
      </c>
      <c r="Y9" t="s">
        <v>31</v>
      </c>
      <c r="Z9" t="s">
        <v>31</v>
      </c>
    </row>
    <row r="10" spans="1:27" ht="30" customHeight="1">
      <c r="A10">
        <v>2101423014</v>
      </c>
      <c r="B10">
        <f>COUNTIF(A:A,A10)</f>
        <v>1</v>
      </c>
      <c r="C10" s="1">
        <f t="shared" ca="1" si="0"/>
        <v>15362</v>
      </c>
      <c r="D10" s="1">
        <v>42081</v>
      </c>
      <c r="E10" s="4">
        <f ca="1">DATEDIF(Table1[[#This Row],[DOB]],Table1[[#This Row],[eventDate]],"Y")</f>
        <v>73</v>
      </c>
      <c r="F10" s="4" t="str">
        <f t="shared" si="1"/>
        <v>Man</v>
      </c>
      <c r="G10" s="4">
        <f ca="1">_xlfn.DAYS(TODAY(),Table1[[#This Row],[eventDate]])</f>
        <v>4032</v>
      </c>
      <c r="H10" t="s">
        <v>32</v>
      </c>
      <c r="I10" t="s">
        <v>28</v>
      </c>
      <c r="J10" t="s">
        <v>29</v>
      </c>
      <c r="K10" s="1">
        <v>42229</v>
      </c>
      <c r="L10">
        <f t="shared" si="2"/>
        <v>148</v>
      </c>
      <c r="M10">
        <f>IF(Table1[[#This Row],[Alive]]="No",Table1[[#This Row],[daysDeath]],Table1[[#This Row],[daysSince]])</f>
        <v>148</v>
      </c>
      <c r="N10">
        <v>97</v>
      </c>
      <c r="O10">
        <v>13.1</v>
      </c>
      <c r="P10">
        <v>380</v>
      </c>
      <c r="Q10">
        <v>11</v>
      </c>
      <c r="R10">
        <v>4.3</v>
      </c>
      <c r="S10">
        <v>113</v>
      </c>
      <c r="T10">
        <v>361</v>
      </c>
      <c r="U10">
        <v>13</v>
      </c>
      <c r="V10">
        <v>30</v>
      </c>
      <c r="W10">
        <v>71.900000000000006</v>
      </c>
      <c r="X10" s="2" t="s">
        <v>30</v>
      </c>
      <c r="Y10" t="s">
        <v>29</v>
      </c>
      <c r="Z10" t="s">
        <v>29</v>
      </c>
    </row>
    <row r="11" spans="1:27" ht="30" customHeight="1">
      <c r="A11">
        <v>1606863045</v>
      </c>
      <c r="B11">
        <f>COUNTIF(A:A,A11)</f>
        <v>1</v>
      </c>
      <c r="C11" s="1">
        <f t="shared" ca="1" si="0"/>
        <v>31579</v>
      </c>
      <c r="D11" s="1">
        <v>42101</v>
      </c>
      <c r="E11" s="4">
        <f ca="1">DATEDIF(Table1[[#This Row],[DOB]],Table1[[#This Row],[eventDate]],"Y")</f>
        <v>28</v>
      </c>
      <c r="F11" s="4" t="str">
        <f t="shared" si="1"/>
        <v>Woman</v>
      </c>
      <c r="G11" s="4">
        <f ca="1">_xlfn.DAYS(TODAY(),Table1[[#This Row],[eventDate]])</f>
        <v>4012</v>
      </c>
      <c r="H11" t="s">
        <v>27</v>
      </c>
      <c r="I11" t="s">
        <v>28</v>
      </c>
      <c r="J11" t="s">
        <v>31</v>
      </c>
      <c r="L11" t="str">
        <f t="shared" si="2"/>
        <v/>
      </c>
      <c r="M11">
        <f ca="1">IF(Table1[[#This Row],[Alive]]="No",Table1[[#This Row],[daysDeath]],Table1[[#This Row],[daysSince]])</f>
        <v>4012</v>
      </c>
      <c r="N11">
        <v>128</v>
      </c>
      <c r="O11">
        <v>10.199999999999999</v>
      </c>
      <c r="P11">
        <v>502</v>
      </c>
      <c r="Q11">
        <v>12</v>
      </c>
      <c r="R11">
        <v>4</v>
      </c>
      <c r="S11">
        <v>69</v>
      </c>
      <c r="T11">
        <v>475</v>
      </c>
      <c r="U11">
        <v>29</v>
      </c>
      <c r="V11">
        <v>13</v>
      </c>
      <c r="W11">
        <v>85</v>
      </c>
      <c r="X11" s="2" t="s">
        <v>33</v>
      </c>
      <c r="Y11" t="s">
        <v>31</v>
      </c>
      <c r="Z11" t="s">
        <v>29</v>
      </c>
    </row>
    <row r="12" spans="1:27" ht="30" customHeight="1">
      <c r="A12">
        <v>1401436129</v>
      </c>
      <c r="B12">
        <f>COUNTIF(A:A,A12)</f>
        <v>1</v>
      </c>
      <c r="C12" s="1">
        <f t="shared" ca="1" si="0"/>
        <v>15720</v>
      </c>
      <c r="D12" s="1">
        <v>42107</v>
      </c>
      <c r="E12" s="4">
        <f ca="1">DATEDIF(Table1[[#This Row],[DOB]],Table1[[#This Row],[eventDate]],"Y")</f>
        <v>72</v>
      </c>
      <c r="F12" s="4" t="str">
        <f t="shared" si="1"/>
        <v>Woman</v>
      </c>
      <c r="G12" s="4">
        <f ca="1">_xlfn.DAYS(TODAY(),Table1[[#This Row],[eventDate]])</f>
        <v>4006</v>
      </c>
      <c r="H12" t="s">
        <v>27</v>
      </c>
      <c r="I12" t="s">
        <v>28</v>
      </c>
      <c r="J12" t="s">
        <v>29</v>
      </c>
      <c r="K12" s="1">
        <v>42120</v>
      </c>
      <c r="L12">
        <f t="shared" si="2"/>
        <v>13</v>
      </c>
      <c r="M12">
        <f>IF(Table1[[#This Row],[Alive]]="No",Table1[[#This Row],[daysDeath]],Table1[[#This Row],[daysSince]])</f>
        <v>13</v>
      </c>
      <c r="N12">
        <v>129</v>
      </c>
      <c r="O12">
        <v>14.7</v>
      </c>
      <c r="P12">
        <v>582</v>
      </c>
      <c r="Q12">
        <v>12</v>
      </c>
      <c r="R12">
        <v>1.8</v>
      </c>
      <c r="S12">
        <v>41</v>
      </c>
      <c r="T12">
        <v>218</v>
      </c>
      <c r="U12">
        <v>14</v>
      </c>
      <c r="V12">
        <v>215</v>
      </c>
      <c r="W12">
        <v>49</v>
      </c>
      <c r="X12" s="2" t="s">
        <v>30</v>
      </c>
      <c r="Y12" t="s">
        <v>29</v>
      </c>
      <c r="Z12" t="s">
        <v>31</v>
      </c>
    </row>
    <row r="13" spans="1:27" ht="30" customHeight="1">
      <c r="A13">
        <v>1905376448</v>
      </c>
      <c r="B13">
        <f>COUNTIF(A:A,A13)</f>
        <v>1</v>
      </c>
      <c r="C13" s="1">
        <f t="shared" ca="1" si="0"/>
        <v>13654</v>
      </c>
      <c r="D13" s="1">
        <v>42110</v>
      </c>
      <c r="E13" s="4">
        <f ca="1">DATEDIF(Table1[[#This Row],[DOB]],Table1[[#This Row],[eventDate]],"Y")</f>
        <v>77</v>
      </c>
      <c r="F13" s="4" t="str">
        <f t="shared" si="1"/>
        <v>Woman</v>
      </c>
      <c r="G13" s="4">
        <f ca="1">_xlfn.DAYS(TODAY(),Table1[[#This Row],[eventDate]])</f>
        <v>4003</v>
      </c>
      <c r="H13" t="s">
        <v>27</v>
      </c>
      <c r="I13" t="s">
        <v>28</v>
      </c>
      <c r="J13" t="s">
        <v>29</v>
      </c>
      <c r="K13" s="1">
        <v>42204</v>
      </c>
      <c r="L13">
        <f t="shared" si="2"/>
        <v>94</v>
      </c>
      <c r="M13">
        <f>IF(Table1[[#This Row],[Alive]]="No",Table1[[#This Row],[daysDeath]],Table1[[#This Row],[daysSince]])</f>
        <v>94</v>
      </c>
      <c r="N13">
        <v>94</v>
      </c>
      <c r="O13">
        <v>7.1</v>
      </c>
      <c r="P13">
        <v>347</v>
      </c>
      <c r="Q13">
        <v>12</v>
      </c>
      <c r="R13">
        <v>2.2000000000000002</v>
      </c>
      <c r="S13">
        <v>48</v>
      </c>
      <c r="T13">
        <v>397</v>
      </c>
      <c r="U13">
        <v>19</v>
      </c>
      <c r="V13">
        <v>20</v>
      </c>
      <c r="W13">
        <v>46.85</v>
      </c>
      <c r="X13" s="2" t="s">
        <v>30</v>
      </c>
      <c r="Y13" t="s">
        <v>29</v>
      </c>
      <c r="Z13" t="s">
        <v>29</v>
      </c>
    </row>
    <row r="14" spans="1:27" ht="30" customHeight="1">
      <c r="A14">
        <v>401405001</v>
      </c>
      <c r="B14">
        <f>COUNTIF(A:A,A14)</f>
        <v>1</v>
      </c>
      <c r="C14" s="1">
        <f t="shared" ca="1" si="0"/>
        <v>14614</v>
      </c>
      <c r="D14" s="1">
        <v>42123</v>
      </c>
      <c r="E14" s="4">
        <f ca="1">DATEDIF(Table1[[#This Row],[DOB]],Table1[[#This Row],[eventDate]],"Y")</f>
        <v>75</v>
      </c>
      <c r="F14" s="4" t="str">
        <f t="shared" si="1"/>
        <v>Woman</v>
      </c>
      <c r="G14" s="4">
        <f ca="1">_xlfn.DAYS(TODAY(),Table1[[#This Row],[eventDate]])</f>
        <v>3990</v>
      </c>
      <c r="H14" t="s">
        <v>32</v>
      </c>
      <c r="I14" t="s">
        <v>28</v>
      </c>
      <c r="J14" t="s">
        <v>29</v>
      </c>
      <c r="K14" s="1">
        <v>42446</v>
      </c>
      <c r="L14">
        <f t="shared" si="2"/>
        <v>323</v>
      </c>
      <c r="M14">
        <f>IF(Table1[[#This Row],[Alive]]="No",Table1[[#This Row],[daysDeath]],Table1[[#This Row],[daysSince]])</f>
        <v>323</v>
      </c>
      <c r="N14">
        <v>109</v>
      </c>
      <c r="O14">
        <v>7.9</v>
      </c>
      <c r="P14">
        <v>269</v>
      </c>
      <c r="Q14">
        <v>12</v>
      </c>
      <c r="R14">
        <v>5.5</v>
      </c>
      <c r="S14">
        <v>54</v>
      </c>
      <c r="T14">
        <v>208</v>
      </c>
      <c r="U14">
        <v>22</v>
      </c>
      <c r="V14">
        <v>12</v>
      </c>
      <c r="W14">
        <v>41.5</v>
      </c>
      <c r="X14" s="2" t="s">
        <v>30</v>
      </c>
      <c r="Y14" t="s">
        <v>29</v>
      </c>
      <c r="Z14" t="s">
        <v>29</v>
      </c>
    </row>
    <row r="15" spans="1:27" ht="30" customHeight="1">
      <c r="A15">
        <v>1903586232</v>
      </c>
      <c r="B15">
        <f>COUNTIF(A:A,A15)</f>
        <v>1</v>
      </c>
      <c r="C15" s="1">
        <f t="shared" ca="1" si="0"/>
        <v>21263</v>
      </c>
      <c r="D15" s="1">
        <v>42131</v>
      </c>
      <c r="E15" s="4">
        <f ca="1">DATEDIF(Table1[[#This Row],[DOB]],Table1[[#This Row],[eventDate]],"Y")</f>
        <v>57</v>
      </c>
      <c r="F15" s="4" t="str">
        <f t="shared" si="1"/>
        <v>Man</v>
      </c>
      <c r="G15" s="4">
        <f ca="1">_xlfn.DAYS(TODAY(),Table1[[#This Row],[eventDate]])</f>
        <v>3982</v>
      </c>
      <c r="H15" t="s">
        <v>32</v>
      </c>
      <c r="I15" t="s">
        <v>28</v>
      </c>
      <c r="J15" t="s">
        <v>29</v>
      </c>
      <c r="K15" s="1">
        <v>42513</v>
      </c>
      <c r="L15">
        <f t="shared" si="2"/>
        <v>382</v>
      </c>
      <c r="M15">
        <f>IF(Table1[[#This Row],[Alive]]="No",Table1[[#This Row],[daysDeath]],Table1[[#This Row],[daysSince]])</f>
        <v>382</v>
      </c>
      <c r="N15">
        <v>116</v>
      </c>
      <c r="O15">
        <v>9.1999999999999993</v>
      </c>
      <c r="P15">
        <v>491</v>
      </c>
      <c r="Q15">
        <v>13</v>
      </c>
      <c r="R15">
        <v>3.1</v>
      </c>
      <c r="S15">
        <v>70</v>
      </c>
      <c r="T15">
        <v>348</v>
      </c>
      <c r="U15">
        <v>22</v>
      </c>
      <c r="V15">
        <v>71</v>
      </c>
      <c r="W15">
        <v>69</v>
      </c>
      <c r="X15" s="2" t="s">
        <v>30</v>
      </c>
      <c r="Y15" t="s">
        <v>29</v>
      </c>
      <c r="Z15" t="s">
        <v>29</v>
      </c>
    </row>
    <row r="16" spans="1:27" ht="30" customHeight="1">
      <c r="A16">
        <v>807283061</v>
      </c>
      <c r="B16">
        <f>COUNTIF(A:A,A16)</f>
        <v>1</v>
      </c>
      <c r="C16" s="1">
        <f t="shared" ca="1" si="0"/>
        <v>10417</v>
      </c>
      <c r="D16" s="1">
        <v>42137</v>
      </c>
      <c r="E16" s="4">
        <f ca="1">DATEDIF(Table1[[#This Row],[DOB]],Table1[[#This Row],[eventDate]],"Y")</f>
        <v>86</v>
      </c>
      <c r="F16" s="4" t="str">
        <f t="shared" si="1"/>
        <v>Woman</v>
      </c>
      <c r="G16" s="4">
        <f ca="1">_xlfn.DAYS(TODAY(),Table1[[#This Row],[eventDate]])</f>
        <v>3976</v>
      </c>
      <c r="H16" t="s">
        <v>27</v>
      </c>
      <c r="I16" t="s">
        <v>28</v>
      </c>
      <c r="J16" t="s">
        <v>29</v>
      </c>
      <c r="K16" s="1">
        <v>42197</v>
      </c>
      <c r="L16">
        <f t="shared" si="2"/>
        <v>60</v>
      </c>
      <c r="M16">
        <f>IF(Table1[[#This Row],[Alive]]="No",Table1[[#This Row],[daysDeath]],Table1[[#This Row],[daysSince]])</f>
        <v>60</v>
      </c>
      <c r="N16">
        <v>109</v>
      </c>
      <c r="O16">
        <v>12</v>
      </c>
      <c r="P16">
        <v>422</v>
      </c>
      <c r="Q16">
        <v>13</v>
      </c>
      <c r="R16">
        <v>2.8</v>
      </c>
      <c r="S16">
        <v>56</v>
      </c>
      <c r="T16">
        <v>549</v>
      </c>
      <c r="U16">
        <v>18</v>
      </c>
      <c r="V16">
        <v>55</v>
      </c>
      <c r="W16">
        <v>45.7</v>
      </c>
      <c r="X16" s="2" t="s">
        <v>30</v>
      </c>
      <c r="Y16" t="s">
        <v>29</v>
      </c>
      <c r="Z16" t="s">
        <v>29</v>
      </c>
    </row>
    <row r="17" spans="1:26" ht="30" customHeight="1">
      <c r="A17">
        <v>2103366107</v>
      </c>
      <c r="B17">
        <f>COUNTIF(A:A,A17)</f>
        <v>1</v>
      </c>
      <c r="C17" s="1">
        <f t="shared" ca="1" si="0"/>
        <v>13230</v>
      </c>
      <c r="D17" s="1">
        <v>42144</v>
      </c>
      <c r="E17" s="4">
        <f ca="1">DATEDIF(Table1[[#This Row],[DOB]],Table1[[#This Row],[eventDate]],"Y")</f>
        <v>79</v>
      </c>
      <c r="F17" s="4" t="str">
        <f t="shared" si="1"/>
        <v>Woman</v>
      </c>
      <c r="G17" s="4">
        <f ca="1">_xlfn.DAYS(TODAY(),Table1[[#This Row],[eventDate]])</f>
        <v>3969</v>
      </c>
      <c r="H17" t="s">
        <v>32</v>
      </c>
      <c r="I17" t="s">
        <v>28</v>
      </c>
      <c r="J17" t="s">
        <v>29</v>
      </c>
      <c r="K17" s="1">
        <v>42224</v>
      </c>
      <c r="L17">
        <f t="shared" si="2"/>
        <v>80</v>
      </c>
      <c r="M17">
        <f>IF(Table1[[#This Row],[Alive]]="No",Table1[[#This Row],[daysDeath]],Table1[[#This Row],[daysSince]])</f>
        <v>80</v>
      </c>
      <c r="N17">
        <v>102</v>
      </c>
      <c r="O17">
        <v>13.1</v>
      </c>
      <c r="P17">
        <v>393</v>
      </c>
      <c r="Q17">
        <v>11</v>
      </c>
      <c r="R17">
        <v>3</v>
      </c>
      <c r="S17">
        <v>62</v>
      </c>
      <c r="T17">
        <v>329</v>
      </c>
      <c r="U17">
        <v>18</v>
      </c>
      <c r="V17">
        <v>17</v>
      </c>
      <c r="W17">
        <v>55</v>
      </c>
      <c r="X17" s="2" t="s">
        <v>30</v>
      </c>
      <c r="Y17" t="s">
        <v>29</v>
      </c>
      <c r="Z17" t="s">
        <v>29</v>
      </c>
    </row>
    <row r="18" spans="1:26" ht="30" customHeight="1">
      <c r="A18">
        <v>1304346234</v>
      </c>
      <c r="B18">
        <f>COUNTIF(A:A,A18)</f>
        <v>1</v>
      </c>
      <c r="C18" s="1">
        <f t="shared" ca="1" si="0"/>
        <v>12522</v>
      </c>
      <c r="D18" s="1">
        <v>42162</v>
      </c>
      <c r="E18" s="4">
        <f ca="1">DATEDIF(Table1[[#This Row],[DOB]],Table1[[#This Row],[eventDate]],"Y")</f>
        <v>81</v>
      </c>
      <c r="F18" s="4" t="str">
        <f t="shared" si="1"/>
        <v>Man</v>
      </c>
      <c r="G18" s="4">
        <f ca="1">_xlfn.DAYS(TODAY(),Table1[[#This Row],[eventDate]])</f>
        <v>3951</v>
      </c>
      <c r="H18" t="s">
        <v>32</v>
      </c>
      <c r="I18" t="s">
        <v>34</v>
      </c>
      <c r="J18" t="s">
        <v>29</v>
      </c>
      <c r="K18" s="1">
        <v>42168</v>
      </c>
      <c r="L18">
        <f t="shared" si="2"/>
        <v>6</v>
      </c>
      <c r="M18">
        <f>IF(Table1[[#This Row],[Alive]]="No",Table1[[#This Row],[daysDeath]],Table1[[#This Row],[daysSince]])</f>
        <v>6</v>
      </c>
      <c r="N18">
        <v>113</v>
      </c>
      <c r="O18">
        <v>24.5</v>
      </c>
      <c r="P18">
        <v>111</v>
      </c>
      <c r="Q18">
        <v>17</v>
      </c>
      <c r="R18">
        <v>12.3</v>
      </c>
      <c r="S18">
        <v>204</v>
      </c>
      <c r="T18">
        <v>67</v>
      </c>
      <c r="U18">
        <v>22</v>
      </c>
      <c r="V18">
        <v>386</v>
      </c>
      <c r="W18">
        <v>76.2</v>
      </c>
      <c r="X18" s="2" t="s">
        <v>33</v>
      </c>
      <c r="Y18" t="s">
        <v>31</v>
      </c>
      <c r="Z18" t="s">
        <v>31</v>
      </c>
    </row>
    <row r="19" spans="1:26" ht="30" customHeight="1">
      <c r="A19">
        <v>1502596008</v>
      </c>
      <c r="B19">
        <f>COUNTIF(A:A,A19)</f>
        <v>1</v>
      </c>
      <c r="C19" s="1">
        <f t="shared" ca="1" si="0"/>
        <v>21596</v>
      </c>
      <c r="D19" s="1">
        <v>42163</v>
      </c>
      <c r="E19" s="4">
        <f ca="1">DATEDIF(Table1[[#This Row],[DOB]],Table1[[#This Row],[eventDate]],"Y")</f>
        <v>56</v>
      </c>
      <c r="F19" s="4" t="str">
        <f t="shared" si="1"/>
        <v>Woman</v>
      </c>
      <c r="G19" s="4">
        <f ca="1">_xlfn.DAYS(TODAY(),Table1[[#This Row],[eventDate]])</f>
        <v>3950</v>
      </c>
      <c r="H19" t="s">
        <v>32</v>
      </c>
      <c r="I19" t="s">
        <v>34</v>
      </c>
      <c r="J19" t="s">
        <v>29</v>
      </c>
      <c r="K19" s="1">
        <v>42238</v>
      </c>
      <c r="L19">
        <f t="shared" si="2"/>
        <v>75</v>
      </c>
      <c r="M19">
        <f>IF(Table1[[#This Row],[Alive]]="No",Table1[[#This Row],[daysDeath]],Table1[[#This Row],[daysSince]])</f>
        <v>75</v>
      </c>
      <c r="N19">
        <v>124</v>
      </c>
      <c r="O19">
        <v>5.9</v>
      </c>
      <c r="P19">
        <v>276</v>
      </c>
      <c r="Q19">
        <v>11</v>
      </c>
      <c r="R19">
        <v>5.5</v>
      </c>
      <c r="S19">
        <v>73</v>
      </c>
      <c r="T19">
        <v>219</v>
      </c>
      <c r="U19">
        <v>29</v>
      </c>
      <c r="V19">
        <v>22</v>
      </c>
      <c r="X19" s="2" t="s">
        <v>30</v>
      </c>
      <c r="Y19" t="s">
        <v>29</v>
      </c>
      <c r="Z19" t="s">
        <v>29</v>
      </c>
    </row>
    <row r="20" spans="1:26" ht="30" customHeight="1">
      <c r="A20">
        <v>2110273011</v>
      </c>
      <c r="B20">
        <f>COUNTIF(A:A,A20)</f>
        <v>1</v>
      </c>
      <c r="C20" s="1">
        <f t="shared" ca="1" si="0"/>
        <v>10156</v>
      </c>
      <c r="D20" s="1">
        <v>42163</v>
      </c>
      <c r="E20" s="4">
        <f ca="1">DATEDIF(Table1[[#This Row],[DOB]],Table1[[#This Row],[eventDate]],"Y")</f>
        <v>87</v>
      </c>
      <c r="F20" s="4" t="str">
        <f t="shared" si="1"/>
        <v>Man</v>
      </c>
      <c r="G20" s="4">
        <f ca="1">_xlfn.DAYS(TODAY(),Table1[[#This Row],[eventDate]])</f>
        <v>3950</v>
      </c>
      <c r="H20" t="s">
        <v>32</v>
      </c>
      <c r="I20" t="s">
        <v>28</v>
      </c>
      <c r="J20" t="s">
        <v>29</v>
      </c>
      <c r="K20" s="1">
        <v>42206</v>
      </c>
      <c r="L20">
        <f t="shared" si="2"/>
        <v>43</v>
      </c>
      <c r="M20">
        <f>IF(Table1[[#This Row],[Alive]]="No",Table1[[#This Row],[daysDeath]],Table1[[#This Row],[daysSince]])</f>
        <v>43</v>
      </c>
      <c r="N20">
        <v>121</v>
      </c>
      <c r="O20">
        <v>9.6</v>
      </c>
      <c r="P20">
        <v>181</v>
      </c>
      <c r="Q20">
        <v>13</v>
      </c>
      <c r="R20">
        <v>12.2</v>
      </c>
      <c r="S20">
        <v>100</v>
      </c>
      <c r="T20">
        <v>815</v>
      </c>
      <c r="U20">
        <v>22</v>
      </c>
      <c r="V20">
        <v>62</v>
      </c>
      <c r="X20" s="2" t="s">
        <v>30</v>
      </c>
      <c r="Y20" t="s">
        <v>29</v>
      </c>
      <c r="Z20" t="s">
        <v>29</v>
      </c>
    </row>
    <row r="21" spans="1:26" ht="30" customHeight="1">
      <c r="A21">
        <v>2002476497</v>
      </c>
      <c r="B21">
        <f>COUNTIF(A:A,A21)</f>
        <v>1</v>
      </c>
      <c r="C21" s="1">
        <f t="shared" ca="1" si="0"/>
        <v>17218</v>
      </c>
      <c r="D21" s="1">
        <v>42166</v>
      </c>
      <c r="E21" s="4">
        <f ca="1">DATEDIF(Table1[[#This Row],[DOB]],Table1[[#This Row],[eventDate]],"Y")</f>
        <v>68</v>
      </c>
      <c r="F21" s="4" t="str">
        <f t="shared" si="1"/>
        <v>Man</v>
      </c>
      <c r="G21" s="4">
        <f ca="1">_xlfn.DAYS(TODAY(),Table1[[#This Row],[eventDate]])</f>
        <v>3947</v>
      </c>
      <c r="H21" t="s">
        <v>27</v>
      </c>
      <c r="I21" t="s">
        <v>28</v>
      </c>
      <c r="J21" t="s">
        <v>29</v>
      </c>
      <c r="K21" s="1">
        <v>42257</v>
      </c>
      <c r="L21">
        <f t="shared" si="2"/>
        <v>91</v>
      </c>
      <c r="M21">
        <f>IF(Table1[[#This Row],[Alive]]="No",Table1[[#This Row],[daysDeath]],Table1[[#This Row],[daysSince]])</f>
        <v>91</v>
      </c>
      <c r="N21">
        <v>110</v>
      </c>
      <c r="O21">
        <v>10</v>
      </c>
      <c r="P21">
        <v>534</v>
      </c>
      <c r="Q21">
        <v>13</v>
      </c>
      <c r="R21">
        <v>3.4</v>
      </c>
      <c r="S21">
        <v>79</v>
      </c>
      <c r="T21">
        <v>253</v>
      </c>
      <c r="U21">
        <v>20</v>
      </c>
      <c r="V21">
        <v>17</v>
      </c>
      <c r="W21">
        <v>44.5</v>
      </c>
      <c r="X21" s="2" t="s">
        <v>30</v>
      </c>
      <c r="Y21" t="s">
        <v>29</v>
      </c>
      <c r="Z21" t="s">
        <v>29</v>
      </c>
    </row>
    <row r="22" spans="1:26" ht="30" customHeight="1">
      <c r="A22">
        <v>2310575402</v>
      </c>
      <c r="B22">
        <f>COUNTIF(A:A,A22)</f>
        <v>1</v>
      </c>
      <c r="C22" s="1">
        <f t="shared" ca="1" si="0"/>
        <v>21116</v>
      </c>
      <c r="D22" s="1">
        <v>42173</v>
      </c>
      <c r="E22" s="4">
        <f ca="1">DATEDIF(Table1[[#This Row],[DOB]],Table1[[#This Row],[eventDate]],"Y")</f>
        <v>57</v>
      </c>
      <c r="F22" s="4" t="str">
        <f t="shared" si="1"/>
        <v>Woman</v>
      </c>
      <c r="G22" s="4">
        <f ca="1">_xlfn.DAYS(TODAY(),Table1[[#This Row],[eventDate]])</f>
        <v>3940</v>
      </c>
      <c r="H22" t="s">
        <v>35</v>
      </c>
      <c r="I22" t="s">
        <v>28</v>
      </c>
      <c r="J22" t="s">
        <v>29</v>
      </c>
      <c r="K22" s="1">
        <v>42195</v>
      </c>
      <c r="L22">
        <f t="shared" si="2"/>
        <v>22</v>
      </c>
      <c r="M22">
        <f>IF(Table1[[#This Row],[Alive]]="No",Table1[[#This Row],[daysDeath]],Table1[[#This Row],[daysSince]])</f>
        <v>22</v>
      </c>
      <c r="N22">
        <v>110</v>
      </c>
      <c r="O22">
        <v>11.8</v>
      </c>
      <c r="P22">
        <v>453</v>
      </c>
      <c r="Q22">
        <v>13</v>
      </c>
      <c r="R22">
        <v>2.7</v>
      </c>
      <c r="S22">
        <v>56</v>
      </c>
      <c r="T22">
        <v>355</v>
      </c>
      <c r="U22">
        <v>22</v>
      </c>
      <c r="V22">
        <v>15</v>
      </c>
      <c r="W22">
        <v>51.95</v>
      </c>
      <c r="X22" s="2" t="s">
        <v>30</v>
      </c>
      <c r="Y22" t="s">
        <v>29</v>
      </c>
      <c r="Z22" t="s">
        <v>31</v>
      </c>
    </row>
    <row r="23" spans="1:26" ht="30" customHeight="1">
      <c r="A23">
        <v>1301625558</v>
      </c>
      <c r="B23">
        <f>COUNTIF(A:A,A23)</f>
        <v>1</v>
      </c>
      <c r="C23" s="1">
        <f t="shared" ca="1" si="0"/>
        <v>22659</v>
      </c>
      <c r="D23" s="1">
        <v>42177</v>
      </c>
      <c r="E23" s="4">
        <f ca="1">DATEDIF(Table1[[#This Row],[DOB]],Table1[[#This Row],[eventDate]],"Y")</f>
        <v>53</v>
      </c>
      <c r="F23" s="4" t="str">
        <f t="shared" si="1"/>
        <v>Man</v>
      </c>
      <c r="G23" s="4">
        <f ca="1">_xlfn.DAYS(TODAY(),Table1[[#This Row],[eventDate]])</f>
        <v>3936</v>
      </c>
      <c r="H23" t="s">
        <v>36</v>
      </c>
      <c r="I23" t="s">
        <v>28</v>
      </c>
      <c r="J23" t="s">
        <v>29</v>
      </c>
      <c r="K23" s="1">
        <v>42271</v>
      </c>
      <c r="L23">
        <f t="shared" si="2"/>
        <v>94</v>
      </c>
      <c r="M23">
        <f>IF(Table1[[#This Row],[Alive]]="No",Table1[[#This Row],[daysDeath]],Table1[[#This Row],[daysSince]])</f>
        <v>94</v>
      </c>
      <c r="N23">
        <v>109</v>
      </c>
      <c r="O23">
        <v>11.6</v>
      </c>
      <c r="P23">
        <v>500</v>
      </c>
      <c r="Q23">
        <v>13</v>
      </c>
      <c r="R23">
        <v>5.7</v>
      </c>
      <c r="S23">
        <v>70</v>
      </c>
      <c r="T23">
        <v>301</v>
      </c>
      <c r="U23">
        <v>27</v>
      </c>
      <c r="V23">
        <v>8</v>
      </c>
      <c r="X23" s="2" t="s">
        <v>30</v>
      </c>
      <c r="Y23" t="s">
        <v>31</v>
      </c>
      <c r="Z23" t="s">
        <v>29</v>
      </c>
    </row>
    <row r="24" spans="1:26" ht="30" customHeight="1">
      <c r="A24">
        <v>1001476115</v>
      </c>
      <c r="B24">
        <f>COUNTIF(A:A,A24)</f>
        <v>1</v>
      </c>
      <c r="C24" s="1">
        <f t="shared" ca="1" si="0"/>
        <v>17177</v>
      </c>
      <c r="D24" s="1">
        <v>42178</v>
      </c>
      <c r="E24" s="4">
        <f ca="1">DATEDIF(Table1[[#This Row],[DOB]],Table1[[#This Row],[eventDate]],"Y")</f>
        <v>68</v>
      </c>
      <c r="F24" s="4" t="str">
        <f t="shared" si="1"/>
        <v>Man</v>
      </c>
      <c r="G24" s="4">
        <f ca="1">_xlfn.DAYS(TODAY(),Table1[[#This Row],[eventDate]])</f>
        <v>3935</v>
      </c>
      <c r="H24" t="s">
        <v>32</v>
      </c>
      <c r="I24" t="s">
        <v>28</v>
      </c>
      <c r="J24" t="s">
        <v>29</v>
      </c>
      <c r="K24" s="1">
        <v>42363</v>
      </c>
      <c r="L24">
        <f t="shared" si="2"/>
        <v>185</v>
      </c>
      <c r="M24">
        <f>IF(Table1[[#This Row],[Alive]]="No",Table1[[#This Row],[daysDeath]],Table1[[#This Row],[daysSince]])</f>
        <v>185</v>
      </c>
      <c r="N24">
        <v>99</v>
      </c>
      <c r="O24">
        <v>7.7</v>
      </c>
      <c r="P24">
        <v>354</v>
      </c>
      <c r="Q24">
        <v>11</v>
      </c>
      <c r="R24">
        <v>5.7</v>
      </c>
      <c r="S24">
        <v>69</v>
      </c>
      <c r="T24">
        <v>164</v>
      </c>
      <c r="U24">
        <v>27</v>
      </c>
      <c r="W24">
        <v>55.25</v>
      </c>
      <c r="X24" s="2" t="s">
        <v>30</v>
      </c>
      <c r="Y24" t="s">
        <v>29</v>
      </c>
      <c r="Z24" t="s">
        <v>29</v>
      </c>
    </row>
    <row r="25" spans="1:26" ht="30" customHeight="1">
      <c r="A25">
        <v>1507286406</v>
      </c>
      <c r="B25">
        <f>COUNTIF(A:A,A25)</f>
        <v>1</v>
      </c>
      <c r="C25" s="1">
        <f t="shared" ca="1" si="0"/>
        <v>10424</v>
      </c>
      <c r="D25" s="1">
        <v>42188</v>
      </c>
      <c r="E25" s="4">
        <f ca="1">DATEDIF(Table1[[#This Row],[DOB]],Table1[[#This Row],[eventDate]],"Y")</f>
        <v>86</v>
      </c>
      <c r="F25" s="4" t="str">
        <f t="shared" si="1"/>
        <v>Woman</v>
      </c>
      <c r="G25" s="4">
        <f ca="1">_xlfn.DAYS(TODAY(),Table1[[#This Row],[eventDate]])</f>
        <v>3925</v>
      </c>
      <c r="H25" t="s">
        <v>32</v>
      </c>
      <c r="I25" t="s">
        <v>34</v>
      </c>
      <c r="J25" t="s">
        <v>29</v>
      </c>
      <c r="K25" s="1">
        <v>44544</v>
      </c>
      <c r="L25">
        <f t="shared" si="2"/>
        <v>2356</v>
      </c>
      <c r="M25">
        <f>IF(Table1[[#This Row],[Alive]]="No",Table1[[#This Row],[daysDeath]],Table1[[#This Row],[daysSince]])</f>
        <v>2356</v>
      </c>
      <c r="N25">
        <v>104</v>
      </c>
      <c r="O25">
        <v>4.7</v>
      </c>
      <c r="P25">
        <v>246</v>
      </c>
      <c r="Q25">
        <v>11</v>
      </c>
      <c r="R25">
        <v>3.7</v>
      </c>
      <c r="S25">
        <v>72</v>
      </c>
      <c r="T25">
        <v>32</v>
      </c>
      <c r="U25">
        <v>27</v>
      </c>
      <c r="V25">
        <v>53</v>
      </c>
      <c r="W25">
        <v>68.8</v>
      </c>
      <c r="X25" s="2" t="s">
        <v>33</v>
      </c>
      <c r="Y25" t="s">
        <v>29</v>
      </c>
      <c r="Z25" t="s">
        <v>29</v>
      </c>
    </row>
    <row r="26" spans="1:26" ht="30" customHeight="1">
      <c r="A26">
        <v>2909373029</v>
      </c>
      <c r="B26">
        <f>COUNTIF(A:A,A26)</f>
        <v>1</v>
      </c>
      <c r="C26" s="1">
        <f t="shared" ca="1" si="0"/>
        <v>13787</v>
      </c>
      <c r="D26" s="1">
        <v>42192</v>
      </c>
      <c r="E26" s="4">
        <f ca="1">DATEDIF(Table1[[#This Row],[DOB]],Table1[[#This Row],[eventDate]],"Y")</f>
        <v>77</v>
      </c>
      <c r="F26" s="4" t="str">
        <f t="shared" si="1"/>
        <v>Woman</v>
      </c>
      <c r="G26" s="4">
        <f ca="1">_xlfn.DAYS(TODAY(),Table1[[#This Row],[eventDate]])</f>
        <v>3921</v>
      </c>
      <c r="H26" t="s">
        <v>32</v>
      </c>
      <c r="I26" t="s">
        <v>28</v>
      </c>
      <c r="J26" t="s">
        <v>29</v>
      </c>
      <c r="K26" s="1">
        <v>42254</v>
      </c>
      <c r="L26">
        <f t="shared" si="2"/>
        <v>62</v>
      </c>
      <c r="M26">
        <f>IF(Table1[[#This Row],[Alive]]="No",Table1[[#This Row],[daysDeath]],Table1[[#This Row],[daysSince]])</f>
        <v>62</v>
      </c>
      <c r="N26">
        <v>118</v>
      </c>
      <c r="O26">
        <v>10.6</v>
      </c>
      <c r="P26">
        <v>343</v>
      </c>
      <c r="Q26">
        <v>12</v>
      </c>
      <c r="R26">
        <v>7</v>
      </c>
      <c r="S26">
        <v>85</v>
      </c>
      <c r="T26">
        <v>254</v>
      </c>
      <c r="U26">
        <v>26</v>
      </c>
      <c r="V26">
        <v>41</v>
      </c>
      <c r="W26">
        <v>82</v>
      </c>
      <c r="X26" s="2" t="s">
        <v>30</v>
      </c>
      <c r="Y26" t="s">
        <v>29</v>
      </c>
      <c r="Z26" t="s">
        <v>29</v>
      </c>
    </row>
    <row r="27" spans="1:26" ht="30" customHeight="1">
      <c r="A27">
        <v>1301566365</v>
      </c>
      <c r="B27">
        <f>COUNTIF(A:A,A27)</f>
        <v>1</v>
      </c>
      <c r="C27" s="1">
        <f t="shared" ca="1" si="0"/>
        <v>20467</v>
      </c>
      <c r="D27" s="1">
        <v>42201</v>
      </c>
      <c r="E27" s="4">
        <f ca="1">DATEDIF(Table1[[#This Row],[DOB]],Table1[[#This Row],[eventDate]],"Y")</f>
        <v>59</v>
      </c>
      <c r="F27" s="4" t="str">
        <f t="shared" si="1"/>
        <v>Woman</v>
      </c>
      <c r="G27" s="4">
        <f ca="1">_xlfn.DAYS(TODAY(),Table1[[#This Row],[eventDate]])</f>
        <v>3912</v>
      </c>
      <c r="H27" t="s">
        <v>32</v>
      </c>
      <c r="I27" t="s">
        <v>28</v>
      </c>
      <c r="J27" t="s">
        <v>29</v>
      </c>
      <c r="K27" s="1">
        <v>42226</v>
      </c>
      <c r="L27">
        <f t="shared" si="2"/>
        <v>25</v>
      </c>
      <c r="M27">
        <f>IF(Table1[[#This Row],[Alive]]="No",Table1[[#This Row],[daysDeath]],Table1[[#This Row],[daysSince]])</f>
        <v>25</v>
      </c>
      <c r="N27">
        <v>84</v>
      </c>
      <c r="O27">
        <v>9.1999999999999993</v>
      </c>
      <c r="P27">
        <v>428</v>
      </c>
      <c r="Q27">
        <v>13</v>
      </c>
      <c r="R27">
        <v>2.2999999999999998</v>
      </c>
      <c r="S27">
        <v>57</v>
      </c>
      <c r="T27">
        <v>289</v>
      </c>
      <c r="U27">
        <v>16</v>
      </c>
      <c r="V27">
        <v>40</v>
      </c>
      <c r="W27">
        <v>67</v>
      </c>
      <c r="X27" s="2" t="s">
        <v>30</v>
      </c>
      <c r="Y27" t="s">
        <v>31</v>
      </c>
      <c r="Z27" t="s">
        <v>29</v>
      </c>
    </row>
    <row r="28" spans="1:26" ht="30" customHeight="1">
      <c r="A28">
        <v>2405396025</v>
      </c>
      <c r="B28">
        <f>COUNTIF(A:A,A28)</f>
        <v>1</v>
      </c>
      <c r="C28" s="1">
        <f t="shared" ca="1" si="0"/>
        <v>14389</v>
      </c>
      <c r="D28" s="1">
        <v>42208</v>
      </c>
      <c r="E28" s="4">
        <f ca="1">DATEDIF(Table1[[#This Row],[DOB]],Table1[[#This Row],[eventDate]],"Y")</f>
        <v>76</v>
      </c>
      <c r="F28" s="4" t="str">
        <f t="shared" si="1"/>
        <v>Woman</v>
      </c>
      <c r="G28" s="4">
        <f ca="1">_xlfn.DAYS(TODAY(),Table1[[#This Row],[eventDate]])</f>
        <v>3905</v>
      </c>
      <c r="H28" t="s">
        <v>27</v>
      </c>
      <c r="I28" t="s">
        <v>28</v>
      </c>
      <c r="J28" t="s">
        <v>29</v>
      </c>
      <c r="K28" s="1">
        <v>45080</v>
      </c>
      <c r="L28">
        <f t="shared" si="2"/>
        <v>2872</v>
      </c>
      <c r="M28">
        <f>IF(Table1[[#This Row],[Alive]]="No",Table1[[#This Row],[daysDeath]],Table1[[#This Row],[daysSince]])</f>
        <v>2872</v>
      </c>
      <c r="N28">
        <v>134</v>
      </c>
      <c r="O28">
        <v>13.6</v>
      </c>
      <c r="P28">
        <v>330</v>
      </c>
      <c r="Q28">
        <v>11</v>
      </c>
      <c r="R28">
        <v>4.2</v>
      </c>
      <c r="S28">
        <v>62</v>
      </c>
      <c r="T28">
        <v>30</v>
      </c>
      <c r="U28">
        <v>37</v>
      </c>
      <c r="V28">
        <v>96</v>
      </c>
      <c r="W28">
        <v>54</v>
      </c>
      <c r="X28" s="2" t="s">
        <v>33</v>
      </c>
      <c r="Y28" t="s">
        <v>29</v>
      </c>
      <c r="Z28" t="s">
        <v>29</v>
      </c>
    </row>
    <row r="29" spans="1:26" ht="30" customHeight="1">
      <c r="A29">
        <v>2008655113</v>
      </c>
      <c r="B29">
        <f>COUNTIF(A:A,A29)</f>
        <v>1</v>
      </c>
      <c r="C29" s="1">
        <f t="shared" ca="1" si="0"/>
        <v>23974</v>
      </c>
      <c r="D29" s="1">
        <v>42216</v>
      </c>
      <c r="E29" s="4">
        <f ca="1">DATEDIF(Table1[[#This Row],[DOB]],Table1[[#This Row],[eventDate]],"Y")</f>
        <v>49</v>
      </c>
      <c r="F29" s="4" t="str">
        <f t="shared" si="1"/>
        <v>Man</v>
      </c>
      <c r="G29" s="4">
        <f ca="1">_xlfn.DAYS(TODAY(),Table1[[#This Row],[eventDate]])</f>
        <v>3897</v>
      </c>
      <c r="H29" t="s">
        <v>32</v>
      </c>
      <c r="I29" t="s">
        <v>28</v>
      </c>
      <c r="J29" t="s">
        <v>31</v>
      </c>
      <c r="L29" t="str">
        <f t="shared" si="2"/>
        <v/>
      </c>
      <c r="M29">
        <f ca="1">IF(Table1[[#This Row],[Alive]]="No",Table1[[#This Row],[daysDeath]],Table1[[#This Row],[daysSince]])</f>
        <v>3897</v>
      </c>
      <c r="N29">
        <v>141</v>
      </c>
      <c r="O29">
        <v>5.8</v>
      </c>
      <c r="P29">
        <v>281</v>
      </c>
      <c r="Q29">
        <v>13</v>
      </c>
      <c r="R29">
        <v>4.5999999999999996</v>
      </c>
      <c r="S29">
        <v>103</v>
      </c>
      <c r="T29">
        <v>312</v>
      </c>
      <c r="U29">
        <v>29</v>
      </c>
      <c r="V29">
        <v>12</v>
      </c>
      <c r="W29">
        <v>88</v>
      </c>
      <c r="X29" s="2" t="s">
        <v>30</v>
      </c>
      <c r="Y29" t="s">
        <v>31</v>
      </c>
      <c r="Z29" t="s">
        <v>29</v>
      </c>
    </row>
    <row r="30" spans="1:26" ht="30" customHeight="1">
      <c r="A30">
        <v>2503393292</v>
      </c>
      <c r="B30">
        <f>COUNTIF(A:A,A30)</f>
        <v>1</v>
      </c>
      <c r="C30" s="1">
        <f t="shared" ca="1" si="0"/>
        <v>14329</v>
      </c>
      <c r="D30" s="1">
        <v>42236</v>
      </c>
      <c r="E30" s="4">
        <f ca="1">DATEDIF(Table1[[#This Row],[DOB]],Table1[[#This Row],[eventDate]],"Y")</f>
        <v>76</v>
      </c>
      <c r="F30" s="4" t="str">
        <f t="shared" si="1"/>
        <v>Man</v>
      </c>
      <c r="G30" s="4">
        <f ca="1">_xlfn.DAYS(TODAY(),Table1[[#This Row],[eventDate]])</f>
        <v>3877</v>
      </c>
      <c r="H30" t="s">
        <v>32</v>
      </c>
      <c r="I30" t="s">
        <v>34</v>
      </c>
      <c r="J30" t="s">
        <v>29</v>
      </c>
      <c r="K30" s="1">
        <v>42247</v>
      </c>
      <c r="L30">
        <f t="shared" si="2"/>
        <v>11</v>
      </c>
      <c r="M30">
        <f>IF(Table1[[#This Row],[Alive]]="No",Table1[[#This Row],[daysDeath]],Table1[[#This Row],[daysSince]])</f>
        <v>11</v>
      </c>
      <c r="N30">
        <v>10.1</v>
      </c>
      <c r="O30">
        <v>16.2</v>
      </c>
      <c r="P30">
        <v>417</v>
      </c>
      <c r="Q30">
        <v>12</v>
      </c>
      <c r="R30">
        <v>23.2</v>
      </c>
      <c r="S30">
        <v>455</v>
      </c>
      <c r="T30">
        <v>542</v>
      </c>
      <c r="U30">
        <v>16</v>
      </c>
      <c r="V30">
        <v>116</v>
      </c>
      <c r="W30">
        <v>100.3</v>
      </c>
      <c r="X30" s="2" t="s">
        <v>30</v>
      </c>
      <c r="Y30" t="s">
        <v>31</v>
      </c>
      <c r="Z30" t="s">
        <v>31</v>
      </c>
    </row>
    <row r="31" spans="1:26" ht="30" customHeight="1">
      <c r="A31">
        <v>3101496101</v>
      </c>
      <c r="B31">
        <f>COUNTIF(A:A,A31)</f>
        <v>1</v>
      </c>
      <c r="C31" s="1">
        <f t="shared" ca="1" si="0"/>
        <v>17929</v>
      </c>
      <c r="D31" s="1">
        <v>42239</v>
      </c>
      <c r="E31" s="4">
        <f ca="1">DATEDIF(Table1[[#This Row],[DOB]],Table1[[#This Row],[eventDate]],"Y")</f>
        <v>66</v>
      </c>
      <c r="F31" s="4" t="str">
        <f t="shared" si="1"/>
        <v>Woman</v>
      </c>
      <c r="G31" s="4">
        <f ca="1">_xlfn.DAYS(TODAY(),Table1[[#This Row],[eventDate]])</f>
        <v>3874</v>
      </c>
      <c r="H31" t="s">
        <v>32</v>
      </c>
      <c r="I31" t="s">
        <v>34</v>
      </c>
      <c r="J31" t="s">
        <v>29</v>
      </c>
      <c r="K31" s="1">
        <v>42256</v>
      </c>
      <c r="L31">
        <f t="shared" si="2"/>
        <v>17</v>
      </c>
      <c r="M31">
        <f>IF(Table1[[#This Row],[Alive]]="No",Table1[[#This Row],[daysDeath]],Table1[[#This Row],[daysSince]])</f>
        <v>17</v>
      </c>
      <c r="N31">
        <v>94</v>
      </c>
      <c r="O31">
        <v>15.7</v>
      </c>
      <c r="P31">
        <v>253</v>
      </c>
      <c r="Q31">
        <v>14</v>
      </c>
      <c r="R31">
        <v>3.8</v>
      </c>
      <c r="S31">
        <v>53</v>
      </c>
      <c r="T31">
        <v>134</v>
      </c>
      <c r="U31">
        <v>20</v>
      </c>
      <c r="V31">
        <v>234</v>
      </c>
      <c r="W31">
        <v>70</v>
      </c>
      <c r="X31" s="2" t="s">
        <v>33</v>
      </c>
      <c r="Y31" t="s">
        <v>29</v>
      </c>
      <c r="Z31" t="s">
        <v>31</v>
      </c>
    </row>
    <row r="32" spans="1:26" ht="30" customHeight="1">
      <c r="A32">
        <v>2212376235</v>
      </c>
      <c r="B32">
        <f>COUNTIF(A:A,A32)</f>
        <v>1</v>
      </c>
      <c r="C32" s="1">
        <f t="shared" ca="1" si="0"/>
        <v>13871</v>
      </c>
      <c r="D32" s="1">
        <v>42243</v>
      </c>
      <c r="E32" s="4">
        <f ca="1">DATEDIF(Table1[[#This Row],[DOB]],Table1[[#This Row],[eventDate]],"Y")</f>
        <v>77</v>
      </c>
      <c r="F32" s="4" t="str">
        <f t="shared" si="1"/>
        <v>Man</v>
      </c>
      <c r="G32" s="4">
        <f ca="1">_xlfn.DAYS(TODAY(),Table1[[#This Row],[eventDate]])</f>
        <v>3870</v>
      </c>
      <c r="H32" t="s">
        <v>27</v>
      </c>
      <c r="I32" t="s">
        <v>28</v>
      </c>
      <c r="J32" t="s">
        <v>29</v>
      </c>
      <c r="K32" s="1">
        <v>42258</v>
      </c>
      <c r="L32">
        <f t="shared" si="2"/>
        <v>15</v>
      </c>
      <c r="M32">
        <f>IF(Table1[[#This Row],[Alive]]="No",Table1[[#This Row],[daysDeath]],Table1[[#This Row],[daysSince]])</f>
        <v>15</v>
      </c>
      <c r="N32">
        <v>119</v>
      </c>
      <c r="O32">
        <v>7.5</v>
      </c>
      <c r="P32">
        <v>233</v>
      </c>
      <c r="Q32">
        <v>15</v>
      </c>
      <c r="R32">
        <v>5.5</v>
      </c>
      <c r="S32">
        <v>68</v>
      </c>
      <c r="T32">
        <v>510</v>
      </c>
      <c r="U32">
        <v>19</v>
      </c>
      <c r="W32">
        <v>56.6</v>
      </c>
      <c r="X32" s="2" t="s">
        <v>30</v>
      </c>
      <c r="Y32" t="s">
        <v>29</v>
      </c>
      <c r="Z32" t="s">
        <v>31</v>
      </c>
    </row>
    <row r="33" spans="1:26" ht="30" customHeight="1">
      <c r="A33">
        <v>2306365032</v>
      </c>
      <c r="B33">
        <f>COUNTIF(A:A,A33)</f>
        <v>1</v>
      </c>
      <c r="C33" s="1">
        <f t="shared" ca="1" si="0"/>
        <v>13324</v>
      </c>
      <c r="D33" s="1">
        <v>42255</v>
      </c>
      <c r="E33" s="4">
        <f ca="1">DATEDIF(Table1[[#This Row],[DOB]],Table1[[#This Row],[eventDate]],"Y")</f>
        <v>79</v>
      </c>
      <c r="F33" s="4" t="str">
        <f t="shared" si="1"/>
        <v>Man</v>
      </c>
      <c r="G33" s="4">
        <f ca="1">_xlfn.DAYS(TODAY(),Table1[[#This Row],[eventDate]])</f>
        <v>3858</v>
      </c>
      <c r="H33" t="s">
        <v>32</v>
      </c>
      <c r="I33" t="s">
        <v>28</v>
      </c>
      <c r="J33" t="s">
        <v>29</v>
      </c>
      <c r="K33" s="1">
        <v>42934</v>
      </c>
      <c r="L33">
        <f t="shared" si="2"/>
        <v>679</v>
      </c>
      <c r="M33">
        <f>IF(Table1[[#This Row],[Alive]]="No",Table1[[#This Row],[daysDeath]],Table1[[#This Row],[daysSince]])</f>
        <v>679</v>
      </c>
      <c r="N33">
        <v>128</v>
      </c>
      <c r="O33">
        <v>5</v>
      </c>
      <c r="P33">
        <v>146</v>
      </c>
      <c r="Q33">
        <v>14</v>
      </c>
      <c r="R33">
        <v>5</v>
      </c>
      <c r="S33">
        <v>70</v>
      </c>
      <c r="T33">
        <v>89</v>
      </c>
      <c r="U33">
        <v>27</v>
      </c>
      <c r="V33">
        <v>48</v>
      </c>
      <c r="W33">
        <v>77</v>
      </c>
      <c r="X33" s="2" t="s">
        <v>33</v>
      </c>
      <c r="Y33" t="s">
        <v>29</v>
      </c>
      <c r="Z33" t="s">
        <v>29</v>
      </c>
    </row>
    <row r="34" spans="1:26" ht="30" customHeight="1">
      <c r="A34">
        <v>1507386044</v>
      </c>
      <c r="B34">
        <f>COUNTIF(A:A,A34)</f>
        <v>1</v>
      </c>
      <c r="C34" s="1">
        <f t="shared" ca="1" si="0"/>
        <v>14076</v>
      </c>
      <c r="D34" s="1">
        <v>42261</v>
      </c>
      <c r="E34" s="4">
        <f ca="1">DATEDIF(Table1[[#This Row],[DOB]],Table1[[#This Row],[eventDate]],"Y")</f>
        <v>77</v>
      </c>
      <c r="F34" s="4" t="str">
        <f t="shared" si="1"/>
        <v>Woman</v>
      </c>
      <c r="G34" s="4">
        <f ca="1">_xlfn.DAYS(TODAY(),Table1[[#This Row],[eventDate]])</f>
        <v>3852</v>
      </c>
      <c r="H34" t="s">
        <v>32</v>
      </c>
      <c r="I34" t="s">
        <v>34</v>
      </c>
      <c r="J34" t="s">
        <v>29</v>
      </c>
      <c r="K34" s="1">
        <v>42269</v>
      </c>
      <c r="L34">
        <f t="shared" si="2"/>
        <v>8</v>
      </c>
      <c r="M34">
        <f>IF(Table1[[#This Row],[Alive]]="No",Table1[[#This Row],[daysDeath]],Table1[[#This Row],[daysSince]])</f>
        <v>8</v>
      </c>
      <c r="N34">
        <v>79</v>
      </c>
      <c r="O34">
        <v>26.4</v>
      </c>
      <c r="P34">
        <v>309</v>
      </c>
      <c r="Q34">
        <v>12</v>
      </c>
      <c r="R34">
        <v>43.6</v>
      </c>
      <c r="S34">
        <v>301</v>
      </c>
      <c r="T34">
        <v>433</v>
      </c>
      <c r="U34">
        <v>20</v>
      </c>
      <c r="V34">
        <v>6</v>
      </c>
      <c r="X34" s="2" t="s">
        <v>33</v>
      </c>
      <c r="Y34" t="s">
        <v>31</v>
      </c>
      <c r="Z34" t="s">
        <v>31</v>
      </c>
    </row>
    <row r="35" spans="1:26" ht="30" customHeight="1">
      <c r="A35">
        <v>402425480</v>
      </c>
      <c r="B35">
        <f>COUNTIF(A:A,A35)</f>
        <v>1</v>
      </c>
      <c r="C35" s="1">
        <f t="shared" ca="1" si="0"/>
        <v>15376</v>
      </c>
      <c r="D35" s="1">
        <v>42271</v>
      </c>
      <c r="E35" s="4">
        <f ca="1">DATEDIF(Table1[[#This Row],[DOB]],Table1[[#This Row],[eventDate]],"Y")</f>
        <v>73</v>
      </c>
      <c r="F35" s="4" t="str">
        <f t="shared" si="1"/>
        <v>Woman</v>
      </c>
      <c r="G35" s="4">
        <f ca="1">_xlfn.DAYS(TODAY(),Table1[[#This Row],[eventDate]])</f>
        <v>3842</v>
      </c>
      <c r="H35" t="s">
        <v>27</v>
      </c>
      <c r="I35" t="s">
        <v>28</v>
      </c>
      <c r="J35" t="s">
        <v>29</v>
      </c>
      <c r="K35" s="1">
        <v>42495</v>
      </c>
      <c r="L35">
        <f t="shared" si="2"/>
        <v>224</v>
      </c>
      <c r="M35">
        <f>IF(Table1[[#This Row],[Alive]]="No",Table1[[#This Row],[daysDeath]],Table1[[#This Row],[daysSince]])</f>
        <v>224</v>
      </c>
      <c r="N35">
        <v>127</v>
      </c>
      <c r="O35">
        <v>7</v>
      </c>
      <c r="P35">
        <v>192</v>
      </c>
      <c r="Q35">
        <v>11</v>
      </c>
      <c r="R35">
        <v>3.5</v>
      </c>
      <c r="S35">
        <v>54</v>
      </c>
      <c r="T35">
        <v>401</v>
      </c>
      <c r="U35">
        <v>28</v>
      </c>
      <c r="V35">
        <v>20</v>
      </c>
      <c r="W35">
        <v>50</v>
      </c>
      <c r="X35" s="2" t="s">
        <v>30</v>
      </c>
      <c r="Y35" t="s">
        <v>29</v>
      </c>
      <c r="Z35" t="s">
        <v>29</v>
      </c>
    </row>
    <row r="36" spans="1:26" ht="30" customHeight="1">
      <c r="A36">
        <v>209516097</v>
      </c>
      <c r="B36">
        <f>COUNTIF(A:A,A36)</f>
        <v>1</v>
      </c>
      <c r="C36" s="1">
        <f t="shared" ca="1" si="0"/>
        <v>18873</v>
      </c>
      <c r="D36" s="1">
        <v>42290</v>
      </c>
      <c r="E36" s="4">
        <f ca="1">DATEDIF(Table1[[#This Row],[DOB]],Table1[[#This Row],[eventDate]],"Y")</f>
        <v>64</v>
      </c>
      <c r="F36" s="4" t="str">
        <f t="shared" si="1"/>
        <v>Man</v>
      </c>
      <c r="G36" s="4">
        <f ca="1">_xlfn.DAYS(TODAY(),Table1[[#This Row],[eventDate]])</f>
        <v>3823</v>
      </c>
      <c r="H36" t="s">
        <v>27</v>
      </c>
      <c r="I36" t="s">
        <v>28</v>
      </c>
      <c r="J36" t="s">
        <v>29</v>
      </c>
      <c r="K36" s="1">
        <v>42349</v>
      </c>
      <c r="L36">
        <f t="shared" si="2"/>
        <v>59</v>
      </c>
      <c r="M36">
        <f>IF(Table1[[#This Row],[Alive]]="No",Table1[[#This Row],[daysDeath]],Table1[[#This Row],[daysSince]])</f>
        <v>59</v>
      </c>
      <c r="N36">
        <v>87</v>
      </c>
      <c r="O36">
        <v>6</v>
      </c>
      <c r="P36">
        <v>327</v>
      </c>
      <c r="Q36">
        <v>13</v>
      </c>
      <c r="R36">
        <v>3.6</v>
      </c>
      <c r="S36">
        <v>58</v>
      </c>
      <c r="T36">
        <v>296</v>
      </c>
      <c r="U36">
        <v>18</v>
      </c>
      <c r="V36">
        <v>46</v>
      </c>
      <c r="W36">
        <v>51</v>
      </c>
      <c r="X36" s="2" t="s">
        <v>30</v>
      </c>
      <c r="Y36" t="s">
        <v>31</v>
      </c>
      <c r="Z36" t="s">
        <v>29</v>
      </c>
    </row>
    <row r="37" spans="1:26" ht="30" customHeight="1">
      <c r="A37">
        <v>1910566136</v>
      </c>
      <c r="B37">
        <f>COUNTIF(A:A,A37)</f>
        <v>1</v>
      </c>
      <c r="C37" s="1">
        <f t="shared" ca="1" si="0"/>
        <v>20747</v>
      </c>
      <c r="D37" s="1">
        <v>42304</v>
      </c>
      <c r="E37" s="4">
        <f ca="1">DATEDIF(Table1[[#This Row],[DOB]],Table1[[#This Row],[eventDate]],"Y")</f>
        <v>59</v>
      </c>
      <c r="F37" s="4" t="str">
        <f t="shared" si="1"/>
        <v>Man</v>
      </c>
      <c r="G37" s="4">
        <f ca="1">_xlfn.DAYS(TODAY(),Table1[[#This Row],[eventDate]])</f>
        <v>3809</v>
      </c>
      <c r="H37" t="s">
        <v>27</v>
      </c>
      <c r="I37" t="s">
        <v>28</v>
      </c>
      <c r="J37" t="s">
        <v>29</v>
      </c>
      <c r="K37" s="1">
        <v>42316</v>
      </c>
      <c r="L37">
        <f t="shared" si="2"/>
        <v>12</v>
      </c>
      <c r="M37">
        <f>IF(Table1[[#This Row],[Alive]]="No",Table1[[#This Row],[daysDeath]],Table1[[#This Row],[daysSince]])</f>
        <v>12</v>
      </c>
      <c r="N37">
        <v>131</v>
      </c>
      <c r="O37">
        <v>5.0999999999999996</v>
      </c>
      <c r="P37">
        <v>201</v>
      </c>
      <c r="Q37">
        <v>15</v>
      </c>
      <c r="R37">
        <v>7.1</v>
      </c>
      <c r="S37">
        <v>71</v>
      </c>
      <c r="T37">
        <v>298</v>
      </c>
      <c r="U37">
        <v>22</v>
      </c>
      <c r="V37">
        <v>69</v>
      </c>
      <c r="W37">
        <v>86</v>
      </c>
      <c r="X37" s="2" t="s">
        <v>30</v>
      </c>
      <c r="Y37" t="s">
        <v>29</v>
      </c>
      <c r="Z37" t="s">
        <v>29</v>
      </c>
    </row>
    <row r="38" spans="1:26" ht="30" customHeight="1">
      <c r="A38">
        <v>1202466060</v>
      </c>
      <c r="B38">
        <f>COUNTIF(A:A,A38)</f>
        <v>1</v>
      </c>
      <c r="C38" s="1">
        <f t="shared" ca="1" si="0"/>
        <v>16845</v>
      </c>
      <c r="D38" s="1">
        <v>42313</v>
      </c>
      <c r="E38" s="4">
        <f ca="1">DATEDIF(Table1[[#This Row],[DOB]],Table1[[#This Row],[eventDate]],"Y")</f>
        <v>69</v>
      </c>
      <c r="F38" s="4" t="str">
        <f t="shared" si="1"/>
        <v>Woman</v>
      </c>
      <c r="G38" s="4">
        <f ca="1">_xlfn.DAYS(TODAY(),Table1[[#This Row],[eventDate]])</f>
        <v>3800</v>
      </c>
      <c r="H38" t="s">
        <v>32</v>
      </c>
      <c r="I38" t="s">
        <v>28</v>
      </c>
      <c r="J38" t="s">
        <v>29</v>
      </c>
      <c r="K38" s="1">
        <v>42486</v>
      </c>
      <c r="L38">
        <f t="shared" si="2"/>
        <v>173</v>
      </c>
      <c r="M38">
        <f>IF(Table1[[#This Row],[Alive]]="No",Table1[[#This Row],[daysDeath]],Table1[[#This Row],[daysSince]])</f>
        <v>173</v>
      </c>
      <c r="N38">
        <v>109</v>
      </c>
      <c r="O38">
        <v>2.9</v>
      </c>
      <c r="P38">
        <v>192</v>
      </c>
      <c r="Q38">
        <v>13</v>
      </c>
      <c r="R38">
        <v>5</v>
      </c>
      <c r="S38">
        <v>91</v>
      </c>
      <c r="T38">
        <v>254</v>
      </c>
      <c r="U38">
        <v>30</v>
      </c>
      <c r="V38">
        <v>18</v>
      </c>
      <c r="W38">
        <v>61</v>
      </c>
      <c r="X38" s="2" t="s">
        <v>30</v>
      </c>
      <c r="Y38" t="s">
        <v>29</v>
      </c>
      <c r="Z38" t="s">
        <v>29</v>
      </c>
    </row>
    <row r="39" spans="1:26" ht="30" customHeight="1">
      <c r="A39">
        <v>508586410</v>
      </c>
      <c r="B39">
        <f>COUNTIF(A:A,A39)</f>
        <v>1</v>
      </c>
      <c r="C39" s="1">
        <f t="shared" ca="1" si="0"/>
        <v>21402</v>
      </c>
      <c r="D39" s="1">
        <v>42318</v>
      </c>
      <c r="E39" s="4">
        <f ca="1">DATEDIF(Table1[[#This Row],[DOB]],Table1[[#This Row],[eventDate]],"Y")</f>
        <v>57</v>
      </c>
      <c r="F39" s="4" t="str">
        <f t="shared" si="1"/>
        <v>Man</v>
      </c>
      <c r="G39" s="4">
        <f ca="1">_xlfn.DAYS(TODAY(),Table1[[#This Row],[eventDate]])</f>
        <v>3795</v>
      </c>
      <c r="H39" t="s">
        <v>32</v>
      </c>
      <c r="I39" t="s">
        <v>34</v>
      </c>
      <c r="J39" t="s">
        <v>29</v>
      </c>
      <c r="K39" s="1">
        <v>44869</v>
      </c>
      <c r="L39">
        <f t="shared" si="2"/>
        <v>2551</v>
      </c>
      <c r="M39">
        <f>IF(Table1[[#This Row],[Alive]]="No",Table1[[#This Row],[daysDeath]],Table1[[#This Row],[daysSince]])</f>
        <v>2551</v>
      </c>
      <c r="N39">
        <v>89</v>
      </c>
      <c r="O39">
        <v>7.7</v>
      </c>
      <c r="P39">
        <v>319</v>
      </c>
      <c r="Q39">
        <v>10</v>
      </c>
      <c r="R39">
        <v>9.4</v>
      </c>
      <c r="S39">
        <v>121</v>
      </c>
      <c r="T39">
        <v>73</v>
      </c>
      <c r="U39">
        <v>27</v>
      </c>
      <c r="V39">
        <v>13</v>
      </c>
      <c r="W39">
        <v>82.6</v>
      </c>
      <c r="X39" s="2" t="s">
        <v>33</v>
      </c>
      <c r="Y39" t="s">
        <v>31</v>
      </c>
      <c r="Z39" t="s">
        <v>29</v>
      </c>
    </row>
    <row r="40" spans="1:26" ht="30" customHeight="1">
      <c r="A40">
        <v>909423113</v>
      </c>
      <c r="B40">
        <f>COUNTIF(A:A,A40)</f>
        <v>1</v>
      </c>
      <c r="C40" s="1">
        <f t="shared" ca="1" si="0"/>
        <v>15593</v>
      </c>
      <c r="D40" s="1">
        <v>42324</v>
      </c>
      <c r="E40" s="4">
        <f ca="1">DATEDIF(Table1[[#This Row],[DOB]],Table1[[#This Row],[eventDate]],"Y")</f>
        <v>73</v>
      </c>
      <c r="F40" s="4" t="str">
        <f t="shared" si="1"/>
        <v>Man</v>
      </c>
      <c r="G40" s="4">
        <f ca="1">_xlfn.DAYS(TODAY(),Table1[[#This Row],[eventDate]])</f>
        <v>3789</v>
      </c>
      <c r="H40" t="s">
        <v>27</v>
      </c>
      <c r="I40" t="s">
        <v>34</v>
      </c>
      <c r="J40" t="s">
        <v>29</v>
      </c>
      <c r="K40" s="1">
        <v>42329</v>
      </c>
      <c r="L40">
        <f t="shared" si="2"/>
        <v>5</v>
      </c>
      <c r="M40">
        <f>IF(Table1[[#This Row],[Alive]]="No",Table1[[#This Row],[daysDeath]],Table1[[#This Row],[daysSince]])</f>
        <v>5</v>
      </c>
      <c r="N40">
        <v>145</v>
      </c>
      <c r="O40">
        <v>13.8</v>
      </c>
      <c r="P40">
        <v>364</v>
      </c>
      <c r="Q40">
        <v>22</v>
      </c>
      <c r="R40">
        <v>10.199999999999999</v>
      </c>
      <c r="S40">
        <v>263</v>
      </c>
      <c r="T40">
        <v>733</v>
      </c>
      <c r="U40">
        <v>19</v>
      </c>
      <c r="V40">
        <v>231</v>
      </c>
      <c r="X40" s="2" t="s">
        <v>30</v>
      </c>
      <c r="Y40" t="s">
        <v>31</v>
      </c>
      <c r="Z40" t="s">
        <v>31</v>
      </c>
    </row>
    <row r="41" spans="1:26" ht="30" customHeight="1">
      <c r="A41">
        <v>1605503096</v>
      </c>
      <c r="B41">
        <f>COUNTIF(A:A,A41)</f>
        <v>1</v>
      </c>
      <c r="C41" s="1">
        <f t="shared" ca="1" si="0"/>
        <v>18399</v>
      </c>
      <c r="D41" s="1">
        <v>42335</v>
      </c>
      <c r="E41" s="4">
        <f ca="1">DATEDIF(Table1[[#This Row],[DOB]],Table1[[#This Row],[eventDate]],"Y")</f>
        <v>65</v>
      </c>
      <c r="F41" s="4" t="str">
        <f t="shared" si="1"/>
        <v>Man</v>
      </c>
      <c r="G41" s="4">
        <f ca="1">_xlfn.DAYS(TODAY(),Table1[[#This Row],[eventDate]])</f>
        <v>3778</v>
      </c>
      <c r="H41" t="s">
        <v>32</v>
      </c>
      <c r="I41" t="s">
        <v>34</v>
      </c>
      <c r="J41" t="s">
        <v>29</v>
      </c>
      <c r="K41" s="1">
        <v>42460</v>
      </c>
      <c r="L41">
        <f t="shared" si="2"/>
        <v>125</v>
      </c>
      <c r="M41">
        <f>IF(Table1[[#This Row],[Alive]]="No",Table1[[#This Row],[daysDeath]],Table1[[#This Row],[daysSince]])</f>
        <v>125</v>
      </c>
      <c r="N41">
        <v>142</v>
      </c>
      <c r="O41">
        <v>6.2</v>
      </c>
      <c r="P41">
        <v>305</v>
      </c>
      <c r="Q41">
        <v>11</v>
      </c>
      <c r="R41">
        <v>3.9</v>
      </c>
      <c r="S41">
        <v>62</v>
      </c>
      <c r="T41">
        <v>202</v>
      </c>
      <c r="U41">
        <v>28</v>
      </c>
      <c r="V41">
        <v>20</v>
      </c>
      <c r="W41">
        <v>70.900000000000006</v>
      </c>
      <c r="X41" s="2" t="s">
        <v>30</v>
      </c>
      <c r="Y41" t="s">
        <v>29</v>
      </c>
      <c r="Z41" t="s">
        <v>29</v>
      </c>
    </row>
    <row r="42" spans="1:26" ht="30" customHeight="1">
      <c r="A42">
        <v>2910346064</v>
      </c>
      <c r="B42">
        <f>COUNTIF(A:A,A42)</f>
        <v>1</v>
      </c>
      <c r="C42" s="1">
        <f t="shared" ca="1" si="0"/>
        <v>12721</v>
      </c>
      <c r="D42" s="1">
        <v>42337</v>
      </c>
      <c r="E42" s="4">
        <f ca="1">DATEDIF(Table1[[#This Row],[DOB]],Table1[[#This Row],[eventDate]],"Y")</f>
        <v>81</v>
      </c>
      <c r="F42" s="4" t="str">
        <f t="shared" si="1"/>
        <v>Woman</v>
      </c>
      <c r="G42" s="4">
        <f ca="1">_xlfn.DAYS(TODAY(),Table1[[#This Row],[eventDate]])</f>
        <v>3776</v>
      </c>
      <c r="H42" t="s">
        <v>37</v>
      </c>
      <c r="I42" t="s">
        <v>28</v>
      </c>
      <c r="J42" t="s">
        <v>29</v>
      </c>
      <c r="K42" s="1">
        <v>42369</v>
      </c>
      <c r="L42">
        <f t="shared" si="2"/>
        <v>32</v>
      </c>
      <c r="M42">
        <f>IF(Table1[[#This Row],[Alive]]="No",Table1[[#This Row],[daysDeath]],Table1[[#This Row],[daysSince]])</f>
        <v>32</v>
      </c>
      <c r="N42">
        <v>136</v>
      </c>
      <c r="O42">
        <v>26</v>
      </c>
      <c r="P42">
        <v>198</v>
      </c>
      <c r="R42">
        <v>24.3</v>
      </c>
      <c r="S42">
        <v>269</v>
      </c>
      <c r="T42">
        <v>17</v>
      </c>
      <c r="U42">
        <v>22</v>
      </c>
      <c r="V42">
        <v>372</v>
      </c>
      <c r="X42" s="2" t="s">
        <v>33</v>
      </c>
      <c r="Y42" t="s">
        <v>29</v>
      </c>
      <c r="Z42" t="s">
        <v>31</v>
      </c>
    </row>
    <row r="43" spans="1:26" ht="30" customHeight="1">
      <c r="A43">
        <v>112456200</v>
      </c>
      <c r="B43">
        <f>COUNTIF(A:A,A43)</f>
        <v>1</v>
      </c>
      <c r="C43" s="1">
        <f t="shared" ref="C43:C80" ca="1" si="3">DATE(
    IF(VALUE(MID(TEXT(A43,"0000000000"),5,2)) &gt; VALUE(TEXT(TODAY(),"YY")),
       1900 + VALUE(MID(TEXT(A43,"0000000000"),5,2)),
       2000 + VALUE(MID(TEXT(A43,"0000000000"),5,2))
    ),
    VALUE(MID(TEXT(A43,"0000000000"),3,2)),
    VALUE(LEFT(TEXT(A43,"0000000000"),2))
)</f>
        <v>16772</v>
      </c>
      <c r="D43" s="1">
        <v>42356</v>
      </c>
      <c r="E43" s="4">
        <f ca="1">DATEDIF(Table1[[#This Row],[DOB]],Table1[[#This Row],[eventDate]],"Y")</f>
        <v>70</v>
      </c>
      <c r="F43" s="4" t="str">
        <f t="shared" ref="F43:F80" si="4">IF(MOD(VALUE(MID(TEXT(A43,"0000000000"),9,1)),2)=0,"Woman","Man")</f>
        <v>Woman</v>
      </c>
      <c r="G43" s="4">
        <f ca="1">_xlfn.DAYS(TODAY(),Table1[[#This Row],[eventDate]])</f>
        <v>3757</v>
      </c>
      <c r="H43" t="s">
        <v>38</v>
      </c>
      <c r="I43" t="s">
        <v>28</v>
      </c>
      <c r="J43" t="s">
        <v>29</v>
      </c>
      <c r="K43" s="1">
        <v>44090</v>
      </c>
      <c r="L43">
        <f t="shared" ref="L43:L80" si="5">IF(J43="No",_xlfn.DAYS(K43,D43),"")</f>
        <v>1734</v>
      </c>
      <c r="M43">
        <f>IF(Table1[[#This Row],[Alive]]="No",Table1[[#This Row],[daysDeath]],Table1[[#This Row],[daysSince]])</f>
        <v>1734</v>
      </c>
      <c r="N43">
        <v>97</v>
      </c>
      <c r="O43">
        <v>12.1</v>
      </c>
      <c r="P43">
        <v>59</v>
      </c>
      <c r="Q43">
        <v>11</v>
      </c>
      <c r="R43">
        <v>6.2</v>
      </c>
      <c r="S43">
        <v>53</v>
      </c>
      <c r="T43">
        <v>13</v>
      </c>
      <c r="U43">
        <v>14</v>
      </c>
      <c r="V43">
        <v>28</v>
      </c>
      <c r="W43">
        <v>40</v>
      </c>
      <c r="X43" s="2" t="s">
        <v>33</v>
      </c>
      <c r="Y43" t="s">
        <v>29</v>
      </c>
      <c r="Z43" t="s">
        <v>29</v>
      </c>
    </row>
    <row r="44" spans="1:26" ht="30" customHeight="1">
      <c r="A44">
        <v>2704686459</v>
      </c>
      <c r="B44">
        <f>COUNTIF(A:A,A44)</f>
        <v>1</v>
      </c>
      <c r="C44" s="1">
        <f t="shared" ca="1" si="3"/>
        <v>24955</v>
      </c>
      <c r="D44" s="1">
        <v>42380</v>
      </c>
      <c r="E44" s="4">
        <f ca="1">DATEDIF(Table1[[#This Row],[DOB]],Table1[[#This Row],[eventDate]],"Y")</f>
        <v>47</v>
      </c>
      <c r="F44" s="4" t="str">
        <f t="shared" si="4"/>
        <v>Man</v>
      </c>
      <c r="G44" s="4">
        <f ca="1">_xlfn.DAYS(TODAY(),Table1[[#This Row],[eventDate]])</f>
        <v>3733</v>
      </c>
      <c r="H44" t="s">
        <v>32</v>
      </c>
      <c r="I44" t="s">
        <v>28</v>
      </c>
      <c r="J44" t="s">
        <v>29</v>
      </c>
      <c r="K44" s="1">
        <v>42385</v>
      </c>
      <c r="L44">
        <f t="shared" si="5"/>
        <v>5</v>
      </c>
      <c r="M44">
        <f>IF(Table1[[#This Row],[Alive]]="No",Table1[[#This Row],[daysDeath]],Table1[[#This Row],[daysSince]])</f>
        <v>5</v>
      </c>
      <c r="N44">
        <v>137</v>
      </c>
      <c r="O44">
        <v>15.2</v>
      </c>
      <c r="P44">
        <v>177</v>
      </c>
      <c r="Q44">
        <v>16</v>
      </c>
      <c r="R44">
        <v>8.1999999999999993</v>
      </c>
      <c r="S44">
        <v>73</v>
      </c>
      <c r="T44">
        <v>284</v>
      </c>
      <c r="U44">
        <v>20</v>
      </c>
      <c r="V44">
        <v>144</v>
      </c>
      <c r="W44">
        <v>60.7</v>
      </c>
      <c r="X44" t="s">
        <v>30</v>
      </c>
      <c r="Y44" t="s">
        <v>29</v>
      </c>
      <c r="Z44" t="s">
        <v>31</v>
      </c>
    </row>
    <row r="45" spans="1:26" ht="30" customHeight="1">
      <c r="A45">
        <v>2303695171</v>
      </c>
      <c r="B45">
        <f>COUNTIF(A:A,A45)</f>
        <v>1</v>
      </c>
      <c r="C45" s="1">
        <f t="shared" ca="1" si="3"/>
        <v>25285</v>
      </c>
      <c r="D45" s="1">
        <v>42384</v>
      </c>
      <c r="E45" s="4">
        <f ca="1">DATEDIF(Table1[[#This Row],[DOB]],Table1[[#This Row],[eventDate]],"Y")</f>
        <v>46</v>
      </c>
      <c r="F45" s="4" t="str">
        <f t="shared" si="4"/>
        <v>Man</v>
      </c>
      <c r="G45" s="4">
        <f ca="1">_xlfn.DAYS(TODAY(),Table1[[#This Row],[eventDate]])</f>
        <v>3729</v>
      </c>
      <c r="H45" t="s">
        <v>35</v>
      </c>
      <c r="I45" t="s">
        <v>28</v>
      </c>
      <c r="J45" t="s">
        <v>29</v>
      </c>
      <c r="K45" s="7">
        <v>42583</v>
      </c>
      <c r="L45">
        <f t="shared" si="5"/>
        <v>199</v>
      </c>
      <c r="M45">
        <f>IF(Table1[[#This Row],[Alive]]="No",Table1[[#This Row],[daysDeath]],Table1[[#This Row],[daysSince]])</f>
        <v>199</v>
      </c>
      <c r="N45">
        <v>86</v>
      </c>
      <c r="O45">
        <v>7.3</v>
      </c>
      <c r="P45">
        <v>77</v>
      </c>
      <c r="Q45">
        <v>13</v>
      </c>
      <c r="R45">
        <v>16.7</v>
      </c>
      <c r="S45">
        <v>322</v>
      </c>
      <c r="T45">
        <v>21</v>
      </c>
      <c r="U45">
        <v>18</v>
      </c>
      <c r="V45">
        <v>97</v>
      </c>
      <c r="X45" t="s">
        <v>33</v>
      </c>
      <c r="Y45" t="s">
        <v>31</v>
      </c>
      <c r="Z45" t="s">
        <v>29</v>
      </c>
    </row>
    <row r="46" spans="1:26" ht="30" customHeight="1">
      <c r="A46">
        <v>1205283080</v>
      </c>
      <c r="B46">
        <f>COUNTIF(A:A,A46)</f>
        <v>1</v>
      </c>
      <c r="C46" s="1">
        <f t="shared" ca="1" si="3"/>
        <v>10360</v>
      </c>
      <c r="D46" s="1">
        <v>42395</v>
      </c>
      <c r="E46" s="4">
        <f ca="1">DATEDIF(Table1[[#This Row],[DOB]],Table1[[#This Row],[eventDate]],"Y")</f>
        <v>87</v>
      </c>
      <c r="F46" s="4" t="str">
        <f t="shared" si="4"/>
        <v>Woman</v>
      </c>
      <c r="G46" s="4">
        <f ca="1">_xlfn.DAYS(TODAY(),Table1[[#This Row],[eventDate]])</f>
        <v>3718</v>
      </c>
      <c r="H46" t="s">
        <v>27</v>
      </c>
      <c r="I46" t="s">
        <v>34</v>
      </c>
      <c r="J46" t="s">
        <v>29</v>
      </c>
      <c r="K46" s="1">
        <v>42536</v>
      </c>
      <c r="L46">
        <f t="shared" si="5"/>
        <v>141</v>
      </c>
      <c r="M46">
        <f>IF(Table1[[#This Row],[Alive]]="No",Table1[[#This Row],[daysDeath]],Table1[[#This Row],[daysSince]])</f>
        <v>141</v>
      </c>
      <c r="N46">
        <v>90</v>
      </c>
      <c r="O46">
        <v>13.7</v>
      </c>
      <c r="P46">
        <v>454</v>
      </c>
      <c r="Q46">
        <v>12</v>
      </c>
      <c r="R46">
        <v>8.1999999999999993</v>
      </c>
      <c r="S46">
        <v>66</v>
      </c>
      <c r="T46">
        <v>219</v>
      </c>
      <c r="U46">
        <v>17</v>
      </c>
      <c r="V46">
        <v>87</v>
      </c>
      <c r="X46" t="s">
        <v>30</v>
      </c>
      <c r="Y46" t="s">
        <v>31</v>
      </c>
      <c r="Z46" t="s">
        <v>29</v>
      </c>
    </row>
    <row r="47" spans="1:26" ht="30" customHeight="1">
      <c r="A47">
        <v>309556430</v>
      </c>
      <c r="B47">
        <f>COUNTIF(A:A,A47)</f>
        <v>1</v>
      </c>
      <c r="C47" s="1">
        <f t="shared" ca="1" si="3"/>
        <v>20335</v>
      </c>
      <c r="D47" s="1">
        <v>42397</v>
      </c>
      <c r="E47" s="4">
        <f ca="1">DATEDIF(Table1[[#This Row],[DOB]],Table1[[#This Row],[eventDate]],"Y")</f>
        <v>60</v>
      </c>
      <c r="F47" s="4" t="str">
        <f t="shared" si="4"/>
        <v>Man</v>
      </c>
      <c r="G47" s="4">
        <f ca="1">_xlfn.DAYS(TODAY(),Table1[[#This Row],[eventDate]])</f>
        <v>3716</v>
      </c>
      <c r="H47" t="s">
        <v>27</v>
      </c>
      <c r="I47" t="s">
        <v>34</v>
      </c>
      <c r="J47" t="s">
        <v>29</v>
      </c>
      <c r="K47" s="1">
        <v>43000</v>
      </c>
      <c r="L47">
        <f t="shared" si="5"/>
        <v>603</v>
      </c>
      <c r="M47">
        <f>IF(Table1[[#This Row],[Alive]]="No",Table1[[#This Row],[daysDeath]],Table1[[#This Row],[daysSince]])</f>
        <v>603</v>
      </c>
      <c r="N47">
        <v>97</v>
      </c>
      <c r="O47">
        <v>14.4</v>
      </c>
      <c r="P47">
        <v>237</v>
      </c>
      <c r="Q47">
        <v>12</v>
      </c>
      <c r="R47">
        <v>3.3</v>
      </c>
      <c r="S47">
        <v>41</v>
      </c>
      <c r="T47">
        <v>62</v>
      </c>
      <c r="U47">
        <v>13</v>
      </c>
      <c r="V47">
        <v>114</v>
      </c>
      <c r="X47" t="s">
        <v>33</v>
      </c>
      <c r="Y47" t="s">
        <v>31</v>
      </c>
      <c r="Z47" t="s">
        <v>29</v>
      </c>
    </row>
    <row r="48" spans="1:26" ht="30" customHeight="1">
      <c r="A48">
        <v>2304453430</v>
      </c>
      <c r="B48">
        <f>COUNTIF(A:A,A48)</f>
        <v>1</v>
      </c>
      <c r="C48" s="1">
        <f t="shared" ca="1" si="3"/>
        <v>16550</v>
      </c>
      <c r="D48" s="1">
        <v>42397</v>
      </c>
      <c r="E48" s="4">
        <f ca="1">DATEDIF(Table1[[#This Row],[DOB]],Table1[[#This Row],[eventDate]],"Y")</f>
        <v>70</v>
      </c>
      <c r="F48" s="4" t="str">
        <f t="shared" si="4"/>
        <v>Man</v>
      </c>
      <c r="G48" s="4">
        <f ca="1">_xlfn.DAYS(TODAY(),Table1[[#This Row],[eventDate]])</f>
        <v>3716</v>
      </c>
      <c r="H48" t="s">
        <v>32</v>
      </c>
      <c r="I48" t="s">
        <v>28</v>
      </c>
      <c r="J48" t="s">
        <v>29</v>
      </c>
      <c r="K48" s="1">
        <v>42526</v>
      </c>
      <c r="L48">
        <f t="shared" si="5"/>
        <v>129</v>
      </c>
      <c r="M48">
        <f>IF(Table1[[#This Row],[Alive]]="No",Table1[[#This Row],[daysDeath]],Table1[[#This Row],[daysSince]])</f>
        <v>129</v>
      </c>
      <c r="N48">
        <v>109</v>
      </c>
      <c r="O48">
        <v>7.8</v>
      </c>
      <c r="P48">
        <v>517</v>
      </c>
      <c r="Q48">
        <v>11</v>
      </c>
      <c r="R48">
        <v>5.0999999999999996</v>
      </c>
      <c r="S48">
        <v>72</v>
      </c>
      <c r="T48">
        <v>314</v>
      </c>
      <c r="U48">
        <v>23</v>
      </c>
      <c r="V48">
        <v>25</v>
      </c>
      <c r="X48" t="s">
        <v>30</v>
      </c>
      <c r="Y48" t="s">
        <v>29</v>
      </c>
      <c r="Z48" t="s">
        <v>29</v>
      </c>
    </row>
    <row r="49" spans="1:26" ht="30" customHeight="1">
      <c r="A49">
        <v>1401273173</v>
      </c>
      <c r="B49">
        <f>COUNTIF(A:A,A49)</f>
        <v>1</v>
      </c>
      <c r="C49" s="1">
        <f t="shared" ca="1" si="3"/>
        <v>9876</v>
      </c>
      <c r="D49" s="1">
        <v>42423</v>
      </c>
      <c r="E49" s="4">
        <f ca="1">DATEDIF(Table1[[#This Row],[DOB]],Table1[[#This Row],[eventDate]],"Y")</f>
        <v>89</v>
      </c>
      <c r="F49" s="4" t="str">
        <f t="shared" si="4"/>
        <v>Man</v>
      </c>
      <c r="G49" s="4">
        <f ca="1">_xlfn.DAYS(TODAY(),Table1[[#This Row],[eventDate]])</f>
        <v>3690</v>
      </c>
      <c r="H49" t="s">
        <v>35</v>
      </c>
      <c r="I49" t="s">
        <v>34</v>
      </c>
      <c r="J49" t="s">
        <v>29</v>
      </c>
      <c r="K49" s="1">
        <v>42665</v>
      </c>
      <c r="L49">
        <f t="shared" si="5"/>
        <v>242</v>
      </c>
      <c r="M49">
        <f>IF(Table1[[#This Row],[Alive]]="No",Table1[[#This Row],[daysDeath]],Table1[[#This Row],[daysSince]])</f>
        <v>242</v>
      </c>
      <c r="N49">
        <v>103</v>
      </c>
      <c r="O49">
        <v>12.3</v>
      </c>
      <c r="P49">
        <v>182</v>
      </c>
      <c r="Q49">
        <v>13</v>
      </c>
      <c r="R49">
        <v>5.0999999999999996</v>
      </c>
      <c r="S49">
        <v>63</v>
      </c>
      <c r="T49">
        <v>423</v>
      </c>
      <c r="U49">
        <v>17</v>
      </c>
      <c r="V49">
        <v>126</v>
      </c>
      <c r="X49" t="s">
        <v>33</v>
      </c>
      <c r="Y49" t="s">
        <v>31</v>
      </c>
      <c r="Z49" t="s">
        <v>29</v>
      </c>
    </row>
    <row r="50" spans="1:26" ht="30" customHeight="1">
      <c r="A50">
        <v>3112565401</v>
      </c>
      <c r="B50">
        <f>COUNTIF(A:A,A50)</f>
        <v>1</v>
      </c>
      <c r="C50" s="1">
        <f t="shared" ca="1" si="3"/>
        <v>20820</v>
      </c>
      <c r="D50" s="1">
        <v>42444</v>
      </c>
      <c r="E50" s="4">
        <f ca="1">DATEDIF(Table1[[#This Row],[DOB]],Table1[[#This Row],[eventDate]],"Y")</f>
        <v>59</v>
      </c>
      <c r="F50" s="4" t="str">
        <f t="shared" si="4"/>
        <v>Woman</v>
      </c>
      <c r="G50" s="4">
        <f ca="1">_xlfn.DAYS(TODAY(),Table1[[#This Row],[eventDate]])</f>
        <v>3669</v>
      </c>
      <c r="H50" t="s">
        <v>27</v>
      </c>
      <c r="I50" t="s">
        <v>28</v>
      </c>
      <c r="J50" t="s">
        <v>29</v>
      </c>
      <c r="K50" s="1">
        <v>42528</v>
      </c>
      <c r="L50">
        <f t="shared" si="5"/>
        <v>84</v>
      </c>
      <c r="M50">
        <f>IF(Table1[[#This Row],[Alive]]="No",Table1[[#This Row],[daysDeath]],Table1[[#This Row],[daysSince]])</f>
        <v>84</v>
      </c>
      <c r="N50">
        <v>91</v>
      </c>
      <c r="O50">
        <v>9.8000000000000007</v>
      </c>
      <c r="P50">
        <v>342</v>
      </c>
      <c r="Q50">
        <v>16</v>
      </c>
      <c r="R50">
        <v>3.8</v>
      </c>
      <c r="S50">
        <v>67</v>
      </c>
      <c r="T50">
        <v>391</v>
      </c>
      <c r="U50">
        <v>21</v>
      </c>
      <c r="V50">
        <v>213</v>
      </c>
      <c r="W50">
        <v>47.6</v>
      </c>
      <c r="X50" t="s">
        <v>30</v>
      </c>
      <c r="Y50" t="s">
        <v>29</v>
      </c>
      <c r="Z50" t="s">
        <v>29</v>
      </c>
    </row>
    <row r="51" spans="1:26" ht="30" customHeight="1">
      <c r="A51">
        <v>510466419</v>
      </c>
      <c r="B51">
        <f>COUNTIF(A:A,A51)</f>
        <v>1</v>
      </c>
      <c r="C51" s="1">
        <f t="shared" ca="1" si="3"/>
        <v>17080</v>
      </c>
      <c r="D51" s="1">
        <v>42447</v>
      </c>
      <c r="E51" s="4">
        <f ca="1">DATEDIF(Table1[[#This Row],[DOB]],Table1[[#This Row],[eventDate]],"Y")</f>
        <v>69</v>
      </c>
      <c r="F51" s="4" t="str">
        <f t="shared" si="4"/>
        <v>Man</v>
      </c>
      <c r="G51" s="4">
        <f ca="1">_xlfn.DAYS(TODAY(),Table1[[#This Row],[eventDate]])</f>
        <v>3666</v>
      </c>
      <c r="H51" t="s">
        <v>32</v>
      </c>
      <c r="I51" t="s">
        <v>34</v>
      </c>
      <c r="J51" t="s">
        <v>31</v>
      </c>
      <c r="L51" t="str">
        <f t="shared" si="5"/>
        <v/>
      </c>
      <c r="M51">
        <f ca="1">IF(Table1[[#This Row],[Alive]]="No",Table1[[#This Row],[daysDeath]],Table1[[#This Row],[daysSince]])</f>
        <v>3666</v>
      </c>
      <c r="N51">
        <v>75</v>
      </c>
      <c r="O51">
        <v>8.4</v>
      </c>
      <c r="P51">
        <v>128</v>
      </c>
      <c r="Q51">
        <v>12</v>
      </c>
      <c r="R51">
        <v>7.3</v>
      </c>
      <c r="S51">
        <v>91</v>
      </c>
      <c r="T51">
        <v>62</v>
      </c>
      <c r="U51">
        <v>26</v>
      </c>
      <c r="V51">
        <v>221</v>
      </c>
      <c r="X51" t="s">
        <v>33</v>
      </c>
      <c r="Y51" t="s">
        <v>31</v>
      </c>
      <c r="Z51" t="s">
        <v>29</v>
      </c>
    </row>
    <row r="52" spans="1:26" ht="30" customHeight="1">
      <c r="A52">
        <v>704386305</v>
      </c>
      <c r="B52">
        <f>COUNTIF(A:A,A52)</f>
        <v>1</v>
      </c>
      <c r="C52" s="1">
        <f t="shared" ca="1" si="3"/>
        <v>13977</v>
      </c>
      <c r="D52" s="1">
        <v>42474</v>
      </c>
      <c r="E52" s="4">
        <f ca="1">DATEDIF(Table1[[#This Row],[DOB]],Table1[[#This Row],[eventDate]],"Y")</f>
        <v>78</v>
      </c>
      <c r="F52" s="4" t="str">
        <f t="shared" si="4"/>
        <v>Woman</v>
      </c>
      <c r="G52" s="4">
        <f ca="1">_xlfn.DAYS(TODAY(),Table1[[#This Row],[eventDate]])</f>
        <v>3639</v>
      </c>
      <c r="H52" t="s">
        <v>32</v>
      </c>
      <c r="I52" t="s">
        <v>28</v>
      </c>
      <c r="J52" t="s">
        <v>29</v>
      </c>
      <c r="K52" s="1">
        <v>42510</v>
      </c>
      <c r="L52">
        <f t="shared" si="5"/>
        <v>36</v>
      </c>
      <c r="M52">
        <f>IF(Table1[[#This Row],[Alive]]="No",Table1[[#This Row],[daysDeath]],Table1[[#This Row],[daysSince]])</f>
        <v>36</v>
      </c>
      <c r="N52">
        <v>91</v>
      </c>
      <c r="O52">
        <v>4.4000000000000004</v>
      </c>
      <c r="P52">
        <v>279</v>
      </c>
      <c r="Q52">
        <v>10</v>
      </c>
      <c r="R52">
        <v>4.3</v>
      </c>
      <c r="S52">
        <v>66</v>
      </c>
      <c r="T52">
        <v>340</v>
      </c>
      <c r="U52">
        <v>18</v>
      </c>
      <c r="V52">
        <v>63</v>
      </c>
      <c r="W52">
        <v>49</v>
      </c>
      <c r="X52" t="s">
        <v>30</v>
      </c>
      <c r="Y52" t="s">
        <v>31</v>
      </c>
      <c r="Z52" t="s">
        <v>29</v>
      </c>
    </row>
    <row r="53" spans="1:26" ht="30" customHeight="1">
      <c r="A53">
        <v>3008526314</v>
      </c>
      <c r="B53">
        <f>COUNTIF(A:A,A53)</f>
        <v>1</v>
      </c>
      <c r="C53" s="1">
        <f t="shared" ca="1" si="3"/>
        <v>19236</v>
      </c>
      <c r="D53" s="1">
        <v>42475</v>
      </c>
      <c r="E53" s="4">
        <f ca="1">DATEDIF(Table1[[#This Row],[DOB]],Table1[[#This Row],[eventDate]],"Y")</f>
        <v>63</v>
      </c>
      <c r="F53" s="4" t="str">
        <f t="shared" si="4"/>
        <v>Man</v>
      </c>
      <c r="G53" s="4">
        <f ca="1">_xlfn.DAYS(TODAY(),Table1[[#This Row],[eventDate]])</f>
        <v>3638</v>
      </c>
      <c r="H53" t="s">
        <v>32</v>
      </c>
      <c r="I53" t="s">
        <v>34</v>
      </c>
      <c r="J53" t="s">
        <v>29</v>
      </c>
      <c r="K53" s="1">
        <v>42578</v>
      </c>
      <c r="L53">
        <f t="shared" si="5"/>
        <v>103</v>
      </c>
      <c r="M53">
        <f>IF(Table1[[#This Row],[Alive]]="No",Table1[[#This Row],[daysDeath]],Table1[[#This Row],[daysSince]])</f>
        <v>103</v>
      </c>
      <c r="N53">
        <v>136</v>
      </c>
      <c r="O53">
        <v>9.1999999999999993</v>
      </c>
      <c r="P53">
        <v>304</v>
      </c>
      <c r="Q53">
        <v>13</v>
      </c>
      <c r="R53">
        <v>3.6</v>
      </c>
      <c r="S53">
        <v>67</v>
      </c>
      <c r="T53">
        <v>274</v>
      </c>
      <c r="U53">
        <v>24</v>
      </c>
      <c r="V53">
        <v>48</v>
      </c>
      <c r="W53">
        <v>91.5</v>
      </c>
      <c r="X53" t="s">
        <v>30</v>
      </c>
      <c r="Y53" t="s">
        <v>29</v>
      </c>
      <c r="Z53" t="s">
        <v>29</v>
      </c>
    </row>
    <row r="54" spans="1:26" ht="30" customHeight="1">
      <c r="A54">
        <v>3001729015</v>
      </c>
      <c r="B54">
        <f>COUNTIF(A:A,A54)</f>
        <v>1</v>
      </c>
      <c r="C54" s="1">
        <f t="shared" ca="1" si="3"/>
        <v>26328</v>
      </c>
      <c r="D54" s="1">
        <v>42486</v>
      </c>
      <c r="E54" s="4">
        <f ca="1">DATEDIF(Table1[[#This Row],[DOB]],Table1[[#This Row],[eventDate]],"Y")</f>
        <v>44</v>
      </c>
      <c r="F54" s="4" t="str">
        <f t="shared" si="4"/>
        <v>Man</v>
      </c>
      <c r="G54" s="4">
        <f ca="1">_xlfn.DAYS(TODAY(),Table1[[#This Row],[eventDate]])</f>
        <v>3627</v>
      </c>
      <c r="H54" t="s">
        <v>32</v>
      </c>
      <c r="I54" t="s">
        <v>34</v>
      </c>
      <c r="J54" t="s">
        <v>29</v>
      </c>
      <c r="K54" s="1">
        <v>42560</v>
      </c>
      <c r="L54">
        <f t="shared" si="5"/>
        <v>74</v>
      </c>
      <c r="M54">
        <f>IF(Table1[[#This Row],[Alive]]="No",Table1[[#This Row],[daysDeath]],Table1[[#This Row],[daysSince]])</f>
        <v>74</v>
      </c>
      <c r="N54">
        <v>93</v>
      </c>
      <c r="O54">
        <v>10.1</v>
      </c>
      <c r="P54">
        <v>237</v>
      </c>
      <c r="Q54">
        <v>12</v>
      </c>
      <c r="R54">
        <v>2.7</v>
      </c>
      <c r="S54">
        <v>58</v>
      </c>
      <c r="T54">
        <v>202</v>
      </c>
      <c r="U54">
        <v>17</v>
      </c>
      <c r="V54">
        <v>94</v>
      </c>
      <c r="X54" t="s">
        <v>30</v>
      </c>
      <c r="Y54" t="s">
        <v>31</v>
      </c>
      <c r="Z54" t="s">
        <v>29</v>
      </c>
    </row>
    <row r="55" spans="1:26" ht="30" customHeight="1">
      <c r="A55">
        <v>2808536763</v>
      </c>
      <c r="B55">
        <f>COUNTIF(A:A,A55)</f>
        <v>1</v>
      </c>
      <c r="C55" s="1">
        <f t="shared" ca="1" si="3"/>
        <v>19599</v>
      </c>
      <c r="D55" s="1">
        <v>42487</v>
      </c>
      <c r="E55" s="4">
        <f ca="1">DATEDIF(Table1[[#This Row],[DOB]],Table1[[#This Row],[eventDate]],"Y")</f>
        <v>62</v>
      </c>
      <c r="F55" s="4" t="str">
        <f t="shared" si="4"/>
        <v>Woman</v>
      </c>
      <c r="G55" s="4">
        <f ca="1">_xlfn.DAYS(TODAY(),Table1[[#This Row],[eventDate]])</f>
        <v>3626</v>
      </c>
      <c r="H55" t="s">
        <v>32</v>
      </c>
      <c r="I55" t="s">
        <v>28</v>
      </c>
      <c r="J55" t="s">
        <v>29</v>
      </c>
      <c r="K55" s="1">
        <v>42857</v>
      </c>
      <c r="L55">
        <f t="shared" si="5"/>
        <v>370</v>
      </c>
      <c r="M55">
        <f>IF(Table1[[#This Row],[Alive]]="No",Table1[[#This Row],[daysDeath]],Table1[[#This Row],[daysSince]])</f>
        <v>370</v>
      </c>
      <c r="N55">
        <v>81</v>
      </c>
      <c r="O55">
        <v>33.5</v>
      </c>
      <c r="P55">
        <v>414</v>
      </c>
      <c r="Q55">
        <v>16</v>
      </c>
      <c r="R55">
        <v>7.9</v>
      </c>
      <c r="S55">
        <v>157</v>
      </c>
      <c r="T55">
        <v>270</v>
      </c>
      <c r="U55">
        <v>11</v>
      </c>
      <c r="V55">
        <v>149</v>
      </c>
      <c r="X55" t="s">
        <v>30</v>
      </c>
      <c r="Y55" t="s">
        <v>31</v>
      </c>
      <c r="Z55" t="s">
        <v>29</v>
      </c>
    </row>
    <row r="56" spans="1:26" ht="30" customHeight="1">
      <c r="A56">
        <v>1410366529</v>
      </c>
      <c r="B56">
        <f>COUNTIF(A:A,A56)</f>
        <v>1</v>
      </c>
      <c r="C56" s="1">
        <f t="shared" ca="1" si="3"/>
        <v>13437</v>
      </c>
      <c r="D56" s="1">
        <v>42496</v>
      </c>
      <c r="E56" s="4">
        <f ca="1">DATEDIF(Table1[[#This Row],[DOB]],Table1[[#This Row],[eventDate]],"Y")</f>
        <v>79</v>
      </c>
      <c r="F56" s="4" t="str">
        <f t="shared" si="4"/>
        <v>Woman</v>
      </c>
      <c r="G56" s="4">
        <f ca="1">_xlfn.DAYS(TODAY(),Table1[[#This Row],[eventDate]])</f>
        <v>3617</v>
      </c>
      <c r="H56" t="s">
        <v>27</v>
      </c>
      <c r="I56" t="s">
        <v>34</v>
      </c>
      <c r="J56" t="s">
        <v>29</v>
      </c>
      <c r="K56" s="1">
        <v>42644</v>
      </c>
      <c r="L56">
        <f t="shared" si="5"/>
        <v>148</v>
      </c>
      <c r="M56">
        <f>IF(Table1[[#This Row],[Alive]]="No",Table1[[#This Row],[daysDeath]],Table1[[#This Row],[daysSince]])</f>
        <v>148</v>
      </c>
      <c r="N56">
        <v>83</v>
      </c>
      <c r="O56">
        <v>22.6</v>
      </c>
      <c r="P56">
        <v>459</v>
      </c>
      <c r="Q56">
        <v>14</v>
      </c>
      <c r="R56">
        <v>18</v>
      </c>
      <c r="S56">
        <v>197</v>
      </c>
      <c r="T56">
        <v>697</v>
      </c>
      <c r="U56">
        <v>18</v>
      </c>
      <c r="V56">
        <v>61</v>
      </c>
      <c r="W56">
        <v>44</v>
      </c>
      <c r="X56" t="s">
        <v>30</v>
      </c>
      <c r="Y56" t="s">
        <v>31</v>
      </c>
      <c r="Z56" t="s">
        <v>29</v>
      </c>
    </row>
    <row r="57" spans="1:26" ht="30" customHeight="1">
      <c r="A57">
        <v>2806413001</v>
      </c>
      <c r="B57">
        <f>COUNTIF(A:A,A57)</f>
        <v>1</v>
      </c>
      <c r="C57" s="1">
        <f t="shared" ca="1" si="3"/>
        <v>15155</v>
      </c>
      <c r="D57" s="1">
        <v>42507</v>
      </c>
      <c r="E57" s="4">
        <f ca="1">DATEDIF(Table1[[#This Row],[DOB]],Table1[[#This Row],[eventDate]],"Y")</f>
        <v>74</v>
      </c>
      <c r="F57" s="4" t="str">
        <f t="shared" si="4"/>
        <v>Woman</v>
      </c>
      <c r="G57" s="4">
        <f ca="1">_xlfn.DAYS(TODAY(),Table1[[#This Row],[eventDate]])</f>
        <v>3606</v>
      </c>
      <c r="H57" t="s">
        <v>32</v>
      </c>
      <c r="I57" t="s">
        <v>28</v>
      </c>
      <c r="J57" t="s">
        <v>29</v>
      </c>
      <c r="K57" s="1">
        <v>43096</v>
      </c>
      <c r="L57">
        <f t="shared" si="5"/>
        <v>589</v>
      </c>
      <c r="M57">
        <f>IF(Table1[[#This Row],[Alive]]="No",Table1[[#This Row],[daysDeath]],Table1[[#This Row],[daysSince]])</f>
        <v>589</v>
      </c>
      <c r="N57">
        <v>124</v>
      </c>
      <c r="O57">
        <v>5.0999999999999996</v>
      </c>
      <c r="P57">
        <v>320</v>
      </c>
      <c r="Q57">
        <v>15</v>
      </c>
      <c r="R57">
        <v>3.2</v>
      </c>
      <c r="S57">
        <v>51</v>
      </c>
      <c r="T57">
        <v>246</v>
      </c>
      <c r="U57">
        <v>24</v>
      </c>
      <c r="V57">
        <v>13</v>
      </c>
      <c r="W57">
        <v>52</v>
      </c>
      <c r="X57" t="s">
        <v>30</v>
      </c>
      <c r="Y57" t="s">
        <v>31</v>
      </c>
      <c r="Z57" t="s">
        <v>29</v>
      </c>
    </row>
    <row r="58" spans="1:26" ht="30" customHeight="1">
      <c r="A58">
        <v>3004486105</v>
      </c>
      <c r="B58">
        <f>COUNTIF(A:A,A58)</f>
        <v>1</v>
      </c>
      <c r="C58" s="1">
        <f t="shared" ca="1" si="3"/>
        <v>17653</v>
      </c>
      <c r="D58" s="1">
        <v>42510</v>
      </c>
      <c r="E58" s="4">
        <f ca="1">DATEDIF(Table1[[#This Row],[DOB]],Table1[[#This Row],[eventDate]],"Y")</f>
        <v>68</v>
      </c>
      <c r="F58" s="4" t="str">
        <f t="shared" si="4"/>
        <v>Woman</v>
      </c>
      <c r="G58" s="4">
        <f ca="1">_xlfn.DAYS(TODAY(),Table1[[#This Row],[eventDate]])</f>
        <v>3603</v>
      </c>
      <c r="H58" t="s">
        <v>32</v>
      </c>
      <c r="I58" t="s">
        <v>34</v>
      </c>
      <c r="J58" t="s">
        <v>29</v>
      </c>
      <c r="K58" s="1">
        <v>42625</v>
      </c>
      <c r="L58">
        <f t="shared" si="5"/>
        <v>115</v>
      </c>
      <c r="M58">
        <f>IF(Table1[[#This Row],[Alive]]="No",Table1[[#This Row],[daysDeath]],Table1[[#This Row],[daysSince]])</f>
        <v>115</v>
      </c>
      <c r="N58">
        <v>115</v>
      </c>
      <c r="O58">
        <v>3.1</v>
      </c>
      <c r="P58">
        <v>269</v>
      </c>
      <c r="Q58">
        <v>14</v>
      </c>
      <c r="R58">
        <v>3</v>
      </c>
      <c r="S58">
        <v>55</v>
      </c>
      <c r="T58">
        <v>170</v>
      </c>
      <c r="U58">
        <v>22</v>
      </c>
      <c r="V58">
        <v>79</v>
      </c>
      <c r="W58">
        <v>82</v>
      </c>
      <c r="X58" t="s">
        <v>30</v>
      </c>
      <c r="Y58" t="s">
        <v>29</v>
      </c>
      <c r="Z58" t="s">
        <v>29</v>
      </c>
    </row>
    <row r="59" spans="1:26" ht="30" customHeight="1">
      <c r="A59">
        <v>3010762143</v>
      </c>
      <c r="B59">
        <f>COUNTIF(A:A,A59)</f>
        <v>1</v>
      </c>
      <c r="C59" s="1">
        <f t="shared" ca="1" si="3"/>
        <v>28063</v>
      </c>
      <c r="D59" s="1">
        <v>42513</v>
      </c>
      <c r="E59" s="4">
        <f ca="1">DATEDIF(Table1[[#This Row],[DOB]],Table1[[#This Row],[eventDate]],"Y")</f>
        <v>39</v>
      </c>
      <c r="F59" s="4" t="str">
        <f t="shared" si="4"/>
        <v>Woman</v>
      </c>
      <c r="G59" s="4">
        <f ca="1">_xlfn.DAYS(TODAY(),Table1[[#This Row],[eventDate]])</f>
        <v>3600</v>
      </c>
      <c r="H59" t="s">
        <v>38</v>
      </c>
      <c r="I59" t="s">
        <v>34</v>
      </c>
      <c r="J59" t="s">
        <v>29</v>
      </c>
      <c r="K59" s="1">
        <v>42566</v>
      </c>
      <c r="L59">
        <f t="shared" si="5"/>
        <v>53</v>
      </c>
      <c r="M59">
        <f>IF(Table1[[#This Row],[Alive]]="No",Table1[[#This Row],[daysDeath]],Table1[[#This Row],[daysSince]])</f>
        <v>53</v>
      </c>
      <c r="N59">
        <v>89</v>
      </c>
      <c r="O59">
        <v>6.2</v>
      </c>
      <c r="P59">
        <v>525</v>
      </c>
      <c r="Q59">
        <v>21</v>
      </c>
      <c r="R59">
        <v>5.6</v>
      </c>
      <c r="S59">
        <v>64</v>
      </c>
      <c r="T59">
        <v>117</v>
      </c>
      <c r="U59">
        <v>23</v>
      </c>
      <c r="V59">
        <v>7</v>
      </c>
      <c r="X59" t="s">
        <v>30</v>
      </c>
      <c r="Y59" t="s">
        <v>29</v>
      </c>
      <c r="Z59" t="s">
        <v>31</v>
      </c>
    </row>
    <row r="60" spans="1:26" ht="30" customHeight="1">
      <c r="A60">
        <v>2107436304</v>
      </c>
      <c r="B60">
        <f>COUNTIF(A:A,A60)</f>
        <v>1</v>
      </c>
      <c r="C60" s="1">
        <f t="shared" ca="1" si="3"/>
        <v>15908</v>
      </c>
      <c r="D60" s="1">
        <v>42521</v>
      </c>
      <c r="E60" s="4">
        <f ca="1">DATEDIF(Table1[[#This Row],[DOB]],Table1[[#This Row],[eventDate]],"Y")</f>
        <v>72</v>
      </c>
      <c r="F60" s="4" t="str">
        <f t="shared" si="4"/>
        <v>Woman</v>
      </c>
      <c r="G60" s="4">
        <f ca="1">_xlfn.DAYS(TODAY(),Table1[[#This Row],[eventDate]])</f>
        <v>3592</v>
      </c>
      <c r="H60" t="s">
        <v>32</v>
      </c>
      <c r="I60" t="s">
        <v>34</v>
      </c>
      <c r="J60" t="s">
        <v>29</v>
      </c>
      <c r="K60" s="1">
        <v>42522</v>
      </c>
      <c r="L60">
        <f t="shared" si="5"/>
        <v>1</v>
      </c>
      <c r="M60">
        <f>IF(Table1[[#This Row],[Alive]]="No",Table1[[#This Row],[daysDeath]],Table1[[#This Row],[daysSince]])</f>
        <v>1</v>
      </c>
      <c r="N60">
        <v>104</v>
      </c>
      <c r="O60">
        <v>26.9</v>
      </c>
      <c r="P60">
        <v>65</v>
      </c>
      <c r="Q60">
        <v>19</v>
      </c>
      <c r="R60">
        <v>18.100000000000001</v>
      </c>
      <c r="S60">
        <v>249</v>
      </c>
      <c r="T60">
        <v>178</v>
      </c>
      <c r="U60">
        <v>23</v>
      </c>
      <c r="V60">
        <v>247</v>
      </c>
      <c r="X60" t="s">
        <v>33</v>
      </c>
      <c r="Y60" t="s">
        <v>29</v>
      </c>
      <c r="Z60" t="s">
        <v>31</v>
      </c>
    </row>
    <row r="61" spans="1:26" ht="30" customHeight="1">
      <c r="A61">
        <v>2604406020</v>
      </c>
      <c r="B61">
        <f>COUNTIF(A:A,A61)</f>
        <v>1</v>
      </c>
      <c r="C61" s="1">
        <f t="shared" ca="1" si="3"/>
        <v>14727</v>
      </c>
      <c r="D61" s="1">
        <v>42521</v>
      </c>
      <c r="E61" s="4">
        <f ca="1">DATEDIF(Table1[[#This Row],[DOB]],Table1[[#This Row],[eventDate]],"Y")</f>
        <v>76</v>
      </c>
      <c r="F61" s="4" t="str">
        <f t="shared" si="4"/>
        <v>Woman</v>
      </c>
      <c r="G61" s="4">
        <f ca="1">_xlfn.DAYS(TODAY(),Table1[[#This Row],[eventDate]])</f>
        <v>3592</v>
      </c>
      <c r="H61" t="s">
        <v>32</v>
      </c>
      <c r="I61" t="s">
        <v>28</v>
      </c>
      <c r="J61" t="s">
        <v>29</v>
      </c>
      <c r="K61" s="1">
        <v>43166</v>
      </c>
      <c r="L61">
        <f t="shared" si="5"/>
        <v>645</v>
      </c>
      <c r="M61">
        <f>IF(Table1[[#This Row],[Alive]]="No",Table1[[#This Row],[daysDeath]],Table1[[#This Row],[daysSince]])</f>
        <v>645</v>
      </c>
      <c r="N61">
        <v>121</v>
      </c>
      <c r="O61">
        <v>7.6</v>
      </c>
      <c r="P61">
        <v>269</v>
      </c>
      <c r="Q61">
        <v>11</v>
      </c>
      <c r="R61">
        <v>2</v>
      </c>
      <c r="S61">
        <v>59</v>
      </c>
      <c r="T61">
        <v>210</v>
      </c>
      <c r="U61">
        <v>21</v>
      </c>
      <c r="V61">
        <v>46</v>
      </c>
      <c r="W61">
        <v>59</v>
      </c>
      <c r="X61" t="s">
        <v>30</v>
      </c>
      <c r="Y61" t="s">
        <v>31</v>
      </c>
      <c r="Z61" t="s">
        <v>29</v>
      </c>
    </row>
    <row r="62" spans="1:26" ht="30" customHeight="1">
      <c r="A62">
        <v>2204416029</v>
      </c>
      <c r="B62">
        <f>COUNTIF(A:A,A62)</f>
        <v>1</v>
      </c>
      <c r="C62" s="1">
        <f t="shared" ca="1" si="3"/>
        <v>15088</v>
      </c>
      <c r="D62" s="1">
        <v>42530</v>
      </c>
      <c r="E62" s="4">
        <f ca="1">DATEDIF(Table1[[#This Row],[DOB]],Table1[[#This Row],[eventDate]],"Y")</f>
        <v>75</v>
      </c>
      <c r="F62" s="4" t="str">
        <f t="shared" si="4"/>
        <v>Woman</v>
      </c>
      <c r="G62" s="4">
        <f ca="1">_xlfn.DAYS(TODAY(),Table1[[#This Row],[eventDate]])</f>
        <v>3583</v>
      </c>
      <c r="H62" t="s">
        <v>32</v>
      </c>
      <c r="I62" t="s">
        <v>34</v>
      </c>
      <c r="J62" t="s">
        <v>29</v>
      </c>
      <c r="K62" s="1">
        <v>43081</v>
      </c>
      <c r="L62">
        <f t="shared" si="5"/>
        <v>551</v>
      </c>
      <c r="M62">
        <f>IF(Table1[[#This Row],[Alive]]="No",Table1[[#This Row],[daysDeath]],Table1[[#This Row],[daysSince]])</f>
        <v>551</v>
      </c>
      <c r="N62">
        <v>101</v>
      </c>
      <c r="O62">
        <v>12.2</v>
      </c>
      <c r="P62">
        <v>226</v>
      </c>
      <c r="Q62">
        <v>12</v>
      </c>
      <c r="R62">
        <v>3.7</v>
      </c>
      <c r="S62">
        <v>62</v>
      </c>
      <c r="T62">
        <v>169</v>
      </c>
      <c r="U62">
        <v>17</v>
      </c>
      <c r="V62">
        <v>122</v>
      </c>
      <c r="W62">
        <v>60</v>
      </c>
      <c r="X62" t="s">
        <v>30</v>
      </c>
      <c r="Y62" t="s">
        <v>31</v>
      </c>
      <c r="Z62" t="s">
        <v>29</v>
      </c>
    </row>
    <row r="63" spans="1:26" ht="30" customHeight="1">
      <c r="A63">
        <v>1210353296</v>
      </c>
      <c r="B63">
        <f>COUNTIF(A:A,A63)</f>
        <v>1</v>
      </c>
      <c r="C63" s="1">
        <f t="shared" ca="1" si="3"/>
        <v>13069</v>
      </c>
      <c r="D63" s="1">
        <v>42534</v>
      </c>
      <c r="E63" s="4">
        <f ca="1">DATEDIF(Table1[[#This Row],[DOB]],Table1[[#This Row],[eventDate]],"Y")</f>
        <v>80</v>
      </c>
      <c r="F63" s="4" t="str">
        <f t="shared" si="4"/>
        <v>Man</v>
      </c>
      <c r="G63" s="4">
        <f ca="1">_xlfn.DAYS(TODAY(),Table1[[#This Row],[eventDate]])</f>
        <v>3579</v>
      </c>
      <c r="H63" t="s">
        <v>27</v>
      </c>
      <c r="I63" t="s">
        <v>34</v>
      </c>
      <c r="J63" t="s">
        <v>29</v>
      </c>
      <c r="K63" s="1">
        <v>42730</v>
      </c>
      <c r="L63">
        <f t="shared" si="5"/>
        <v>196</v>
      </c>
      <c r="M63">
        <f>IF(Table1[[#This Row],[Alive]]="No",Table1[[#This Row],[daysDeath]],Table1[[#This Row],[daysSince]])</f>
        <v>196</v>
      </c>
      <c r="N63">
        <v>108</v>
      </c>
      <c r="O63">
        <v>8.6999999999999993</v>
      </c>
      <c r="P63">
        <v>173</v>
      </c>
      <c r="Q63">
        <v>12</v>
      </c>
      <c r="R63">
        <v>12.9</v>
      </c>
      <c r="S63">
        <v>330</v>
      </c>
      <c r="T63">
        <v>696</v>
      </c>
      <c r="U63">
        <v>25</v>
      </c>
      <c r="V63">
        <v>61</v>
      </c>
      <c r="W63">
        <v>81</v>
      </c>
      <c r="X63" t="s">
        <v>30</v>
      </c>
      <c r="Y63" t="s">
        <v>31</v>
      </c>
      <c r="Z63" t="s">
        <v>29</v>
      </c>
    </row>
    <row r="64" spans="1:26" ht="30" customHeight="1">
      <c r="A64">
        <v>2003493301</v>
      </c>
      <c r="B64">
        <f>COUNTIF(A:A,A64)</f>
        <v>1</v>
      </c>
      <c r="C64" s="1">
        <f t="shared" ca="1" si="3"/>
        <v>17977</v>
      </c>
      <c r="D64" s="1">
        <v>42537</v>
      </c>
      <c r="E64" s="4">
        <f ca="1">DATEDIF(Table1[[#This Row],[DOB]],Table1[[#This Row],[eventDate]],"Y")</f>
        <v>67</v>
      </c>
      <c r="F64" s="4" t="str">
        <f t="shared" si="4"/>
        <v>Woman</v>
      </c>
      <c r="G64" s="4">
        <f ca="1">_xlfn.DAYS(TODAY(),Table1[[#This Row],[eventDate]])</f>
        <v>3576</v>
      </c>
      <c r="H64" t="s">
        <v>27</v>
      </c>
      <c r="I64" t="s">
        <v>34</v>
      </c>
      <c r="J64" t="s">
        <v>29</v>
      </c>
      <c r="K64" s="1">
        <v>43072</v>
      </c>
      <c r="L64">
        <f t="shared" si="5"/>
        <v>535</v>
      </c>
      <c r="M64">
        <f>IF(Table1[[#This Row],[Alive]]="No",Table1[[#This Row],[daysDeath]],Table1[[#This Row],[daysSince]])</f>
        <v>535</v>
      </c>
      <c r="N64">
        <v>114</v>
      </c>
      <c r="O64">
        <v>9.3000000000000007</v>
      </c>
      <c r="P64">
        <v>311</v>
      </c>
      <c r="Q64">
        <v>14</v>
      </c>
      <c r="R64">
        <v>3.3</v>
      </c>
      <c r="S64">
        <v>60</v>
      </c>
      <c r="T64">
        <v>236</v>
      </c>
      <c r="U64">
        <v>19</v>
      </c>
      <c r="V64">
        <v>64</v>
      </c>
      <c r="X64" t="s">
        <v>30</v>
      </c>
      <c r="Y64" t="s">
        <v>31</v>
      </c>
      <c r="Z64" t="s">
        <v>29</v>
      </c>
    </row>
    <row r="65" spans="1:26" ht="30" customHeight="1">
      <c r="A65">
        <v>3101436028</v>
      </c>
      <c r="B65">
        <f>COUNTIF(A:A,A65)</f>
        <v>1</v>
      </c>
      <c r="C65" s="1">
        <f t="shared" ca="1" si="3"/>
        <v>15737</v>
      </c>
      <c r="D65" s="1">
        <v>42537</v>
      </c>
      <c r="E65" s="4">
        <f ca="1">DATEDIF(Table1[[#This Row],[DOB]],Table1[[#This Row],[eventDate]],"Y")</f>
        <v>73</v>
      </c>
      <c r="F65" s="4" t="str">
        <f t="shared" si="4"/>
        <v>Woman</v>
      </c>
      <c r="G65" s="4">
        <f ca="1">_xlfn.DAYS(TODAY(),Table1[[#This Row],[eventDate]])</f>
        <v>3576</v>
      </c>
      <c r="H65" t="s">
        <v>32</v>
      </c>
      <c r="I65" t="s">
        <v>28</v>
      </c>
      <c r="J65" t="s">
        <v>29</v>
      </c>
      <c r="K65" s="1">
        <v>42865</v>
      </c>
      <c r="L65">
        <f t="shared" si="5"/>
        <v>328</v>
      </c>
      <c r="M65">
        <f>IF(Table1[[#This Row],[Alive]]="No",Table1[[#This Row],[daysDeath]],Table1[[#This Row],[daysSince]])</f>
        <v>328</v>
      </c>
      <c r="N65">
        <v>122</v>
      </c>
      <c r="O65">
        <v>7.4</v>
      </c>
      <c r="P65">
        <v>210</v>
      </c>
      <c r="Q65">
        <v>15</v>
      </c>
      <c r="R65">
        <v>3.9</v>
      </c>
      <c r="S65">
        <v>66</v>
      </c>
      <c r="T65">
        <v>350</v>
      </c>
      <c r="U65">
        <v>21</v>
      </c>
      <c r="V65">
        <v>35</v>
      </c>
      <c r="X65" t="s">
        <v>30</v>
      </c>
      <c r="Y65" t="s">
        <v>29</v>
      </c>
      <c r="Z65" t="s">
        <v>29</v>
      </c>
    </row>
    <row r="66" spans="1:26" ht="30" customHeight="1">
      <c r="A66">
        <v>2712496000</v>
      </c>
      <c r="B66">
        <f>COUNTIF(A:A,A66)</f>
        <v>1</v>
      </c>
      <c r="C66" s="1">
        <f t="shared" ca="1" si="3"/>
        <v>18259</v>
      </c>
      <c r="D66" s="1">
        <v>42541</v>
      </c>
      <c r="E66" s="4">
        <f ca="1">DATEDIF(Table1[[#This Row],[DOB]],Table1[[#This Row],[eventDate]],"Y")</f>
        <v>66</v>
      </c>
      <c r="F66" s="4" t="str">
        <f t="shared" si="4"/>
        <v>Woman</v>
      </c>
      <c r="G66" s="4">
        <f ca="1">_xlfn.DAYS(TODAY(),Table1[[#This Row],[eventDate]])</f>
        <v>3572</v>
      </c>
      <c r="H66" t="s">
        <v>32</v>
      </c>
      <c r="I66" t="s">
        <v>28</v>
      </c>
      <c r="J66" t="s">
        <v>29</v>
      </c>
      <c r="K66" s="1">
        <v>42911</v>
      </c>
      <c r="L66">
        <f t="shared" si="5"/>
        <v>370</v>
      </c>
      <c r="M66">
        <f>IF(Table1[[#This Row],[Alive]]="No",Table1[[#This Row],[daysDeath]],Table1[[#This Row],[daysSince]])</f>
        <v>370</v>
      </c>
      <c r="N66">
        <v>88</v>
      </c>
      <c r="O66">
        <v>11.9</v>
      </c>
      <c r="P66">
        <v>333</v>
      </c>
      <c r="Q66">
        <v>13</v>
      </c>
      <c r="R66">
        <v>4.8</v>
      </c>
      <c r="S66">
        <v>62</v>
      </c>
      <c r="T66">
        <v>350</v>
      </c>
      <c r="U66">
        <v>25</v>
      </c>
      <c r="V66">
        <v>44</v>
      </c>
      <c r="X66" t="s">
        <v>30</v>
      </c>
      <c r="Y66" t="s">
        <v>29</v>
      </c>
      <c r="Z66" t="s">
        <v>29</v>
      </c>
    </row>
    <row r="67" spans="1:26" ht="30" customHeight="1">
      <c r="A67">
        <v>2507503432</v>
      </c>
      <c r="B67">
        <f>COUNTIF(A:A,A67)</f>
        <v>1</v>
      </c>
      <c r="C67" s="1">
        <f t="shared" ca="1" si="3"/>
        <v>18469</v>
      </c>
      <c r="D67" s="1">
        <v>42549</v>
      </c>
      <c r="E67" s="4">
        <f ca="1">DATEDIF(Table1[[#This Row],[DOB]],Table1[[#This Row],[eventDate]],"Y")</f>
        <v>65</v>
      </c>
      <c r="F67" s="4" t="str">
        <f t="shared" si="4"/>
        <v>Man</v>
      </c>
      <c r="G67" s="4">
        <f ca="1">_xlfn.DAYS(TODAY(),Table1[[#This Row],[eventDate]])</f>
        <v>3564</v>
      </c>
      <c r="H67" t="s">
        <v>32</v>
      </c>
      <c r="I67" t="s">
        <v>28</v>
      </c>
      <c r="J67" t="s">
        <v>29</v>
      </c>
      <c r="K67" s="1">
        <v>43300</v>
      </c>
      <c r="L67">
        <f t="shared" si="5"/>
        <v>751</v>
      </c>
      <c r="M67">
        <f>IF(Table1[[#This Row],[Alive]]="No",Table1[[#This Row],[daysDeath]],Table1[[#This Row],[daysSince]])</f>
        <v>751</v>
      </c>
      <c r="N67">
        <v>120</v>
      </c>
      <c r="O67">
        <v>65.599999999999994</v>
      </c>
      <c r="P67">
        <v>75</v>
      </c>
      <c r="Q67">
        <v>18</v>
      </c>
      <c r="R67">
        <v>6.7</v>
      </c>
      <c r="S67">
        <v>172</v>
      </c>
      <c r="T67">
        <v>91</v>
      </c>
      <c r="U67">
        <v>20</v>
      </c>
      <c r="V67">
        <v>119</v>
      </c>
      <c r="X67" t="s">
        <v>33</v>
      </c>
      <c r="Y67" t="s">
        <v>31</v>
      </c>
      <c r="Z67" t="s">
        <v>29</v>
      </c>
    </row>
    <row r="68" spans="1:26" ht="30" customHeight="1">
      <c r="A68">
        <v>501446230</v>
      </c>
      <c r="B68">
        <f>COUNTIF(A:A,A68)</f>
        <v>1</v>
      </c>
      <c r="C68" s="1">
        <f t="shared" ca="1" si="3"/>
        <v>16076</v>
      </c>
      <c r="D68" s="1">
        <v>42552</v>
      </c>
      <c r="E68" s="4">
        <f ca="1">DATEDIF(Table1[[#This Row],[DOB]],Table1[[#This Row],[eventDate]],"Y")</f>
        <v>72</v>
      </c>
      <c r="F68" s="4" t="str">
        <f t="shared" si="4"/>
        <v>Man</v>
      </c>
      <c r="G68" s="4">
        <f ca="1">_xlfn.DAYS(TODAY(),Table1[[#This Row],[eventDate]])</f>
        <v>3561</v>
      </c>
      <c r="H68" t="s">
        <v>32</v>
      </c>
      <c r="I68" t="s">
        <v>34</v>
      </c>
      <c r="J68" t="s">
        <v>31</v>
      </c>
      <c r="L68" t="str">
        <f t="shared" si="5"/>
        <v/>
      </c>
      <c r="M68">
        <f ca="1">IF(Table1[[#This Row],[Alive]]="No",Table1[[#This Row],[daysDeath]],Table1[[#This Row],[daysSince]])</f>
        <v>3561</v>
      </c>
      <c r="N68">
        <v>100</v>
      </c>
      <c r="O68">
        <v>22.8</v>
      </c>
      <c r="P68">
        <v>531</v>
      </c>
      <c r="Q68">
        <v>12</v>
      </c>
      <c r="R68">
        <v>24.7</v>
      </c>
      <c r="S68">
        <v>264</v>
      </c>
      <c r="T68">
        <v>56</v>
      </c>
      <c r="U68">
        <v>12</v>
      </c>
      <c r="V68">
        <v>246</v>
      </c>
      <c r="W68">
        <v>100</v>
      </c>
      <c r="X68" t="s">
        <v>33</v>
      </c>
      <c r="Y68" t="s">
        <v>31</v>
      </c>
      <c r="Z68" t="s">
        <v>29</v>
      </c>
    </row>
    <row r="69" spans="1:26" ht="30" customHeight="1">
      <c r="A69">
        <v>1201385210</v>
      </c>
      <c r="B69">
        <f>COUNTIF(A:A,A69)</f>
        <v>1</v>
      </c>
      <c r="C69" s="1">
        <f t="shared" ca="1" si="3"/>
        <v>13892</v>
      </c>
      <c r="D69" s="1">
        <v>42552</v>
      </c>
      <c r="E69" s="4">
        <f ca="1">DATEDIF(Table1[[#This Row],[DOB]],Table1[[#This Row],[eventDate]],"Y")</f>
        <v>78</v>
      </c>
      <c r="F69" s="4" t="str">
        <f t="shared" si="4"/>
        <v>Man</v>
      </c>
      <c r="G69" s="4">
        <f ca="1">_xlfn.DAYS(TODAY(),Table1[[#This Row],[eventDate]])</f>
        <v>3561</v>
      </c>
      <c r="H69" t="s">
        <v>32</v>
      </c>
      <c r="I69" t="s">
        <v>34</v>
      </c>
      <c r="J69" t="s">
        <v>29</v>
      </c>
      <c r="K69" s="1">
        <v>45167</v>
      </c>
      <c r="L69">
        <f t="shared" si="5"/>
        <v>2615</v>
      </c>
      <c r="M69">
        <f>IF(Table1[[#This Row],[Alive]]="No",Table1[[#This Row],[daysDeath]],Table1[[#This Row],[daysSince]])</f>
        <v>2615</v>
      </c>
      <c r="N69">
        <v>148</v>
      </c>
      <c r="O69">
        <v>7.6</v>
      </c>
      <c r="P69">
        <v>194</v>
      </c>
      <c r="Q69">
        <v>13</v>
      </c>
      <c r="R69">
        <v>5.0999999999999996</v>
      </c>
      <c r="S69">
        <v>74</v>
      </c>
      <c r="T69">
        <v>573</v>
      </c>
      <c r="U69">
        <v>21</v>
      </c>
      <c r="V69">
        <v>95</v>
      </c>
      <c r="W69">
        <v>91.4</v>
      </c>
      <c r="X69" t="s">
        <v>33</v>
      </c>
      <c r="Y69" t="s">
        <v>31</v>
      </c>
      <c r="Z69" t="s">
        <v>29</v>
      </c>
    </row>
    <row r="70" spans="1:26" ht="30" customHeight="1">
      <c r="A70">
        <v>2307446133</v>
      </c>
      <c r="B70">
        <f>COUNTIF(A:A,A70)</f>
        <v>1</v>
      </c>
      <c r="C70" s="1">
        <f t="shared" ca="1" si="3"/>
        <v>16276</v>
      </c>
      <c r="D70" s="1">
        <v>42556</v>
      </c>
      <c r="E70" s="4">
        <f ca="1">DATEDIF(Table1[[#This Row],[DOB]],Table1[[#This Row],[eventDate]],"Y")</f>
        <v>71</v>
      </c>
      <c r="F70" s="4" t="str">
        <f t="shared" si="4"/>
        <v>Man</v>
      </c>
      <c r="G70" s="4">
        <f ca="1">_xlfn.DAYS(TODAY(),Table1[[#This Row],[eventDate]])</f>
        <v>3557</v>
      </c>
      <c r="H70" t="s">
        <v>27</v>
      </c>
      <c r="I70" t="s">
        <v>28</v>
      </c>
      <c r="J70" t="s">
        <v>29</v>
      </c>
      <c r="K70" s="1">
        <v>43353</v>
      </c>
      <c r="L70">
        <f t="shared" si="5"/>
        <v>797</v>
      </c>
      <c r="M70">
        <f>IF(Table1[[#This Row],[Alive]]="No",Table1[[#This Row],[daysDeath]],Table1[[#This Row],[daysSince]])</f>
        <v>797</v>
      </c>
      <c r="N70">
        <v>141</v>
      </c>
      <c r="O70">
        <v>7.3</v>
      </c>
      <c r="P70">
        <v>251</v>
      </c>
      <c r="Q70">
        <v>10</v>
      </c>
      <c r="R70">
        <v>5.6</v>
      </c>
      <c r="S70">
        <v>106</v>
      </c>
      <c r="T70">
        <v>552</v>
      </c>
      <c r="U70">
        <v>27</v>
      </c>
      <c r="V70">
        <v>20</v>
      </c>
      <c r="W70">
        <v>62.5</v>
      </c>
      <c r="X70" t="s">
        <v>30</v>
      </c>
      <c r="Y70" t="s">
        <v>29</v>
      </c>
      <c r="Z70" t="s">
        <v>29</v>
      </c>
    </row>
    <row r="71" spans="1:26" ht="30" customHeight="1">
      <c r="A71">
        <v>1009713442</v>
      </c>
      <c r="B71">
        <f>COUNTIF(A:A,A71)</f>
        <v>1</v>
      </c>
      <c r="C71" s="1">
        <f t="shared" ca="1" si="3"/>
        <v>26186</v>
      </c>
      <c r="D71" s="1">
        <v>42558</v>
      </c>
      <c r="E71" s="4">
        <f ca="1">DATEDIF(Table1[[#This Row],[DOB]],Table1[[#This Row],[eventDate]],"Y")</f>
        <v>44</v>
      </c>
      <c r="F71" s="4" t="str">
        <f t="shared" si="4"/>
        <v>Woman</v>
      </c>
      <c r="G71" s="4">
        <f ca="1">_xlfn.DAYS(TODAY(),Table1[[#This Row],[eventDate]])</f>
        <v>3555</v>
      </c>
      <c r="H71" t="s">
        <v>32</v>
      </c>
      <c r="I71" t="s">
        <v>28</v>
      </c>
      <c r="J71" t="s">
        <v>29</v>
      </c>
      <c r="K71" s="1">
        <v>45197</v>
      </c>
      <c r="L71">
        <f t="shared" si="5"/>
        <v>2639</v>
      </c>
      <c r="M71">
        <f>IF(Table1[[#This Row],[Alive]]="No",Table1[[#This Row],[daysDeath]],Table1[[#This Row],[daysSince]])</f>
        <v>2639</v>
      </c>
      <c r="N71">
        <v>127</v>
      </c>
      <c r="O71">
        <v>15.9</v>
      </c>
      <c r="P71">
        <v>459</v>
      </c>
      <c r="Q71">
        <v>11</v>
      </c>
      <c r="R71">
        <v>3.1</v>
      </c>
      <c r="S71">
        <v>61</v>
      </c>
      <c r="T71">
        <v>175</v>
      </c>
      <c r="U71">
        <v>27</v>
      </c>
      <c r="V71">
        <v>18</v>
      </c>
      <c r="W71">
        <v>47</v>
      </c>
      <c r="X71" t="s">
        <v>33</v>
      </c>
      <c r="Y71" t="s">
        <v>31</v>
      </c>
      <c r="Z71" t="s">
        <v>29</v>
      </c>
    </row>
    <row r="72" spans="1:26" ht="30" customHeight="1">
      <c r="A72">
        <v>2910426149</v>
      </c>
      <c r="B72">
        <f>COUNTIF(A:A,A72)</f>
        <v>1</v>
      </c>
      <c r="C72" s="1">
        <f t="shared" ca="1" si="3"/>
        <v>15643</v>
      </c>
      <c r="D72" s="1">
        <v>42564</v>
      </c>
      <c r="E72" s="4">
        <f ca="1">DATEDIF(Table1[[#This Row],[DOB]],Table1[[#This Row],[eventDate]],"Y")</f>
        <v>73</v>
      </c>
      <c r="F72" s="4" t="str">
        <f t="shared" si="4"/>
        <v>Woman</v>
      </c>
      <c r="G72" s="4">
        <f ca="1">_xlfn.DAYS(TODAY(),Table1[[#This Row],[eventDate]])</f>
        <v>3549</v>
      </c>
      <c r="H72" t="s">
        <v>32</v>
      </c>
      <c r="I72" t="s">
        <v>34</v>
      </c>
      <c r="J72" t="s">
        <v>29</v>
      </c>
      <c r="K72" s="1">
        <v>42610</v>
      </c>
      <c r="L72">
        <f t="shared" si="5"/>
        <v>46</v>
      </c>
      <c r="M72">
        <f>IF(Table1[[#This Row],[Alive]]="No",Table1[[#This Row],[daysDeath]],Table1[[#This Row],[daysSince]])</f>
        <v>46</v>
      </c>
      <c r="N72">
        <v>120</v>
      </c>
      <c r="O72">
        <v>8.1</v>
      </c>
      <c r="P72">
        <v>422</v>
      </c>
      <c r="Q72">
        <v>13</v>
      </c>
      <c r="R72">
        <v>3.4</v>
      </c>
      <c r="S72">
        <v>56</v>
      </c>
      <c r="T72">
        <v>279</v>
      </c>
      <c r="U72">
        <v>26</v>
      </c>
      <c r="V72">
        <v>41</v>
      </c>
      <c r="X72" t="s">
        <v>30</v>
      </c>
      <c r="Y72" t="s">
        <v>29</v>
      </c>
      <c r="Z72" t="s">
        <v>29</v>
      </c>
    </row>
    <row r="73" spans="1:26" ht="30" customHeight="1">
      <c r="A73">
        <v>2206256371</v>
      </c>
      <c r="B73">
        <f>COUNTIF(A:A,A73)</f>
        <v>1</v>
      </c>
      <c r="C73" s="1">
        <v>9305</v>
      </c>
      <c r="D73" s="1">
        <v>42573</v>
      </c>
      <c r="E73" s="4">
        <f>DATEDIF(Table1[[#This Row],[DOB]],Table1[[#This Row],[eventDate]],"Y")</f>
        <v>91</v>
      </c>
      <c r="F73" s="4" t="str">
        <f t="shared" si="4"/>
        <v>Man</v>
      </c>
      <c r="G73" s="4">
        <f ca="1">_xlfn.DAYS(TODAY(),Table1[[#This Row],[eventDate]])</f>
        <v>3540</v>
      </c>
      <c r="H73" t="s">
        <v>32</v>
      </c>
      <c r="I73" t="s">
        <v>34</v>
      </c>
      <c r="J73" t="s">
        <v>29</v>
      </c>
      <c r="K73" s="1">
        <v>42656</v>
      </c>
      <c r="L73">
        <f t="shared" si="5"/>
        <v>83</v>
      </c>
      <c r="M73">
        <f>IF(Table1[[#This Row],[Alive]]="No",Table1[[#This Row],[daysDeath]],Table1[[#This Row],[daysSince]])</f>
        <v>83</v>
      </c>
      <c r="N73">
        <v>109</v>
      </c>
      <c r="O73">
        <v>5.7</v>
      </c>
      <c r="P73">
        <v>224</v>
      </c>
      <c r="Q73">
        <v>13</v>
      </c>
      <c r="R73">
        <v>8.1999999999999993</v>
      </c>
      <c r="S73">
        <v>118</v>
      </c>
      <c r="T73">
        <v>287</v>
      </c>
      <c r="U73">
        <v>30</v>
      </c>
      <c r="V73">
        <v>6</v>
      </c>
      <c r="W73">
        <v>55.7</v>
      </c>
      <c r="X73" t="s">
        <v>33</v>
      </c>
      <c r="Y73" t="s">
        <v>31</v>
      </c>
      <c r="Z73" t="s">
        <v>29</v>
      </c>
    </row>
    <row r="74" spans="1:26" ht="30" customHeight="1">
      <c r="A74">
        <v>602316073</v>
      </c>
      <c r="B74">
        <f>COUNTIF(A:A,A74)</f>
        <v>1</v>
      </c>
      <c r="C74" s="1">
        <f t="shared" ca="1" si="3"/>
        <v>11360</v>
      </c>
      <c r="D74" s="1">
        <v>42578</v>
      </c>
      <c r="E74" s="4">
        <f ca="1">DATEDIF(Table1[[#This Row],[DOB]],Table1[[#This Row],[eventDate]],"Y")</f>
        <v>85</v>
      </c>
      <c r="F74" s="4" t="str">
        <f t="shared" si="4"/>
        <v>Man</v>
      </c>
      <c r="G74" s="4">
        <f ca="1">_xlfn.DAYS(TODAY(),Table1[[#This Row],[eventDate]])</f>
        <v>3535</v>
      </c>
      <c r="H74" t="s">
        <v>32</v>
      </c>
      <c r="I74" t="s">
        <v>34</v>
      </c>
      <c r="J74" t="s">
        <v>29</v>
      </c>
      <c r="K74" s="1">
        <v>42694</v>
      </c>
      <c r="L74">
        <f t="shared" si="5"/>
        <v>116</v>
      </c>
      <c r="M74">
        <f>IF(Table1[[#This Row],[Alive]]="No",Table1[[#This Row],[daysDeath]],Table1[[#This Row],[daysSince]])</f>
        <v>116</v>
      </c>
      <c r="N74">
        <v>129</v>
      </c>
      <c r="O74">
        <v>6.4</v>
      </c>
      <c r="P74">
        <v>288</v>
      </c>
      <c r="Q74">
        <v>11</v>
      </c>
      <c r="R74">
        <v>8.8000000000000007</v>
      </c>
      <c r="S74">
        <v>88</v>
      </c>
      <c r="T74">
        <v>192</v>
      </c>
      <c r="U74">
        <v>28</v>
      </c>
      <c r="V74">
        <v>11</v>
      </c>
      <c r="X74" t="s">
        <v>30</v>
      </c>
      <c r="Y74" t="s">
        <v>29</v>
      </c>
      <c r="Z74" t="s">
        <v>29</v>
      </c>
    </row>
    <row r="75" spans="1:26" ht="30" customHeight="1">
      <c r="A75">
        <v>1412456479</v>
      </c>
      <c r="B75">
        <f>COUNTIF(A:A,A75)</f>
        <v>1</v>
      </c>
      <c r="C75" s="1">
        <f ca="1">DATE(
    IF(VALUE(MID(TEXT(A75,"0000000000"),5,2)) &gt; VALUE(TEXT(TODAY(),"YY")),
       1900 + VALUE(MID(TEXT(A75,"0000000000"),5,2)),
       2000 + VALUE(MID(TEXT(A75,"0000000000"),5,2))
    ),
    VALUE(MID(TEXT(A75,"0000000000"),3,2)),
    VALUE(LEFT(TEXT(A75,"0000000000"),2))
)</f>
        <v>16785</v>
      </c>
      <c r="D75" s="1">
        <v>42583</v>
      </c>
      <c r="E75" s="4">
        <f ca="1">DATEDIF(Table1[[#This Row],[DOB]],Table1[[#This Row],[eventDate]],"Y")</f>
        <v>70</v>
      </c>
      <c r="F75" s="4" t="str">
        <f t="shared" si="4"/>
        <v>Man</v>
      </c>
      <c r="G75" s="4">
        <f ca="1">_xlfn.DAYS(TODAY(),Table1[[#This Row],[eventDate]])</f>
        <v>3530</v>
      </c>
      <c r="H75" t="s">
        <v>37</v>
      </c>
      <c r="I75" t="s">
        <v>34</v>
      </c>
      <c r="J75" t="s">
        <v>29</v>
      </c>
      <c r="K75" s="1">
        <v>42593</v>
      </c>
      <c r="L75">
        <f t="shared" si="5"/>
        <v>10</v>
      </c>
      <c r="M75">
        <f>IF(Table1[[#This Row],[Alive]]="No",Table1[[#This Row],[daysDeath]],Table1[[#This Row],[daysSince]])</f>
        <v>10</v>
      </c>
      <c r="N75">
        <v>86</v>
      </c>
      <c r="O75">
        <v>14.9</v>
      </c>
      <c r="P75">
        <v>483</v>
      </c>
      <c r="Q75">
        <v>13</v>
      </c>
      <c r="R75">
        <v>6.8</v>
      </c>
      <c r="S75">
        <v>91</v>
      </c>
      <c r="T75">
        <v>338</v>
      </c>
      <c r="U75">
        <v>17</v>
      </c>
      <c r="V75">
        <v>143</v>
      </c>
      <c r="W75">
        <v>75.2</v>
      </c>
      <c r="X75" t="s">
        <v>30</v>
      </c>
      <c r="Y75" t="s">
        <v>31</v>
      </c>
      <c r="Z75" t="s">
        <v>29</v>
      </c>
    </row>
    <row r="76" spans="1:26" ht="30" customHeight="1">
      <c r="A76">
        <v>1008476005</v>
      </c>
      <c r="B76">
        <f>COUNTIF(A:A,A76)</f>
        <v>1</v>
      </c>
      <c r="C76" s="1">
        <f t="shared" ca="1" si="3"/>
        <v>17389</v>
      </c>
      <c r="D76" s="1">
        <v>42587</v>
      </c>
      <c r="E76" s="4">
        <f ca="1">DATEDIF(Table1[[#This Row],[DOB]],Table1[[#This Row],[eventDate]],"Y")</f>
        <v>68</v>
      </c>
      <c r="F76" s="4" t="str">
        <f t="shared" si="4"/>
        <v>Woman</v>
      </c>
      <c r="G76" s="4">
        <f ca="1">_xlfn.DAYS(TODAY(),Table1[[#This Row],[eventDate]])</f>
        <v>3526</v>
      </c>
      <c r="H76" t="s">
        <v>27</v>
      </c>
      <c r="I76" t="s">
        <v>28</v>
      </c>
      <c r="J76" t="s">
        <v>29</v>
      </c>
      <c r="K76" s="1">
        <v>44414</v>
      </c>
      <c r="L76">
        <f t="shared" si="5"/>
        <v>1827</v>
      </c>
      <c r="M76">
        <f>IF(Table1[[#This Row],[Alive]]="No",Table1[[#This Row],[daysDeath]],Table1[[#This Row],[daysSince]])</f>
        <v>1827</v>
      </c>
      <c r="N76">
        <v>165</v>
      </c>
      <c r="O76">
        <v>4.5999999999999996</v>
      </c>
      <c r="P76">
        <v>134</v>
      </c>
      <c r="Q76">
        <v>12</v>
      </c>
      <c r="R76">
        <v>5.3</v>
      </c>
      <c r="S76">
        <v>64</v>
      </c>
      <c r="T76">
        <v>78</v>
      </c>
      <c r="U76">
        <v>28</v>
      </c>
      <c r="V76">
        <v>293</v>
      </c>
      <c r="W76">
        <v>67</v>
      </c>
      <c r="X76" t="s">
        <v>33</v>
      </c>
      <c r="Y76" t="s">
        <v>29</v>
      </c>
      <c r="Z76" t="s">
        <v>29</v>
      </c>
    </row>
    <row r="77" spans="1:26" ht="30" customHeight="1">
      <c r="A77">
        <v>602365236</v>
      </c>
      <c r="B77">
        <f>COUNTIF(A:A,A77)</f>
        <v>1</v>
      </c>
      <c r="C77" s="1">
        <f t="shared" ca="1" si="3"/>
        <v>13186</v>
      </c>
      <c r="D77" s="1">
        <v>42594</v>
      </c>
      <c r="E77" s="4">
        <f ca="1">DATEDIF(Table1[[#This Row],[DOB]],Table1[[#This Row],[eventDate]],"Y")</f>
        <v>80</v>
      </c>
      <c r="F77" s="4" t="str">
        <f t="shared" si="4"/>
        <v>Man</v>
      </c>
      <c r="G77" s="4">
        <f ca="1">_xlfn.DAYS(TODAY(),Table1[[#This Row],[eventDate]])</f>
        <v>3519</v>
      </c>
      <c r="H77" t="s">
        <v>32</v>
      </c>
      <c r="I77" t="s">
        <v>34</v>
      </c>
      <c r="J77" t="s">
        <v>29</v>
      </c>
      <c r="K77" s="1">
        <v>42781</v>
      </c>
      <c r="L77">
        <f t="shared" si="5"/>
        <v>187</v>
      </c>
      <c r="M77">
        <f>IF(Table1[[#This Row],[Alive]]="No",Table1[[#This Row],[daysDeath]],Table1[[#This Row],[daysSince]])</f>
        <v>187</v>
      </c>
      <c r="N77">
        <v>88</v>
      </c>
      <c r="O77">
        <v>4.8</v>
      </c>
      <c r="P77">
        <v>276</v>
      </c>
      <c r="Q77">
        <v>12</v>
      </c>
      <c r="R77">
        <v>3.6</v>
      </c>
      <c r="S77">
        <v>60</v>
      </c>
      <c r="T77">
        <v>84</v>
      </c>
      <c r="U77">
        <v>21</v>
      </c>
      <c r="V77">
        <v>29</v>
      </c>
      <c r="W77">
        <v>60</v>
      </c>
      <c r="X77" t="s">
        <v>30</v>
      </c>
      <c r="Y77" t="s">
        <v>29</v>
      </c>
      <c r="Z77" t="s">
        <v>29</v>
      </c>
    </row>
    <row r="78" spans="1:26" ht="30" customHeight="1">
      <c r="A78">
        <v>705503097</v>
      </c>
      <c r="B78">
        <f>COUNTIF(A:A,A78)</f>
        <v>1</v>
      </c>
      <c r="C78" s="1">
        <f t="shared" ca="1" si="3"/>
        <v>18390</v>
      </c>
      <c r="D78" s="1">
        <v>42594</v>
      </c>
      <c r="E78" s="4">
        <f ca="1">DATEDIF(Table1[[#This Row],[DOB]],Table1[[#This Row],[eventDate]],"Y")</f>
        <v>66</v>
      </c>
      <c r="F78" s="4" t="str">
        <f t="shared" si="4"/>
        <v>Man</v>
      </c>
      <c r="G78" s="4">
        <f ca="1">_xlfn.DAYS(TODAY(),Table1[[#This Row],[eventDate]])</f>
        <v>3519</v>
      </c>
      <c r="H78" t="s">
        <v>27</v>
      </c>
      <c r="I78" t="s">
        <v>34</v>
      </c>
      <c r="J78" t="s">
        <v>29</v>
      </c>
      <c r="K78" s="1">
        <v>42755</v>
      </c>
      <c r="L78">
        <f t="shared" si="5"/>
        <v>161</v>
      </c>
      <c r="M78">
        <f>IF(Table1[[#This Row],[Alive]]="No",Table1[[#This Row],[daysDeath]],Table1[[#This Row],[daysSince]])</f>
        <v>161</v>
      </c>
      <c r="N78">
        <v>122</v>
      </c>
      <c r="O78">
        <v>10.199999999999999</v>
      </c>
      <c r="P78">
        <v>358</v>
      </c>
      <c r="Q78">
        <v>10</v>
      </c>
      <c r="R78">
        <v>4.5999999999999996</v>
      </c>
      <c r="S78">
        <v>80</v>
      </c>
      <c r="T78">
        <v>98</v>
      </c>
      <c r="U78">
        <v>32</v>
      </c>
      <c r="V78">
        <v>3</v>
      </c>
      <c r="W78">
        <v>87</v>
      </c>
      <c r="X78" t="s">
        <v>30</v>
      </c>
      <c r="Y78" t="s">
        <v>29</v>
      </c>
      <c r="Z78" t="s">
        <v>29</v>
      </c>
    </row>
    <row r="79" spans="1:26" ht="30" customHeight="1">
      <c r="A79">
        <v>402405250</v>
      </c>
      <c r="B79">
        <f>COUNTIF(A:A,A79)</f>
        <v>1</v>
      </c>
      <c r="C79" s="1">
        <f t="shared" ca="1" si="3"/>
        <v>14645</v>
      </c>
      <c r="D79" s="1">
        <v>42597</v>
      </c>
      <c r="E79" s="4">
        <f ca="1">DATEDIF(Table1[[#This Row],[DOB]],Table1[[#This Row],[eventDate]],"Y")</f>
        <v>76</v>
      </c>
      <c r="F79" s="4" t="str">
        <f t="shared" si="4"/>
        <v>Man</v>
      </c>
      <c r="G79" s="4">
        <f ca="1">_xlfn.DAYS(TODAY(),Table1[[#This Row],[eventDate]])</f>
        <v>3516</v>
      </c>
      <c r="H79" t="s">
        <v>27</v>
      </c>
      <c r="I79" t="s">
        <v>28</v>
      </c>
      <c r="J79" t="s">
        <v>29</v>
      </c>
      <c r="K79" s="1">
        <v>42914</v>
      </c>
      <c r="L79">
        <f t="shared" si="5"/>
        <v>317</v>
      </c>
      <c r="M79">
        <f>IF(Table1[[#This Row],[Alive]]="No",Table1[[#This Row],[daysDeath]],Table1[[#This Row],[daysSince]])</f>
        <v>317</v>
      </c>
      <c r="N79">
        <v>110</v>
      </c>
      <c r="O79">
        <v>6.4</v>
      </c>
      <c r="P79">
        <v>334</v>
      </c>
      <c r="Q79">
        <v>13</v>
      </c>
      <c r="R79">
        <v>2.7</v>
      </c>
      <c r="S79">
        <v>65</v>
      </c>
      <c r="T79">
        <v>96</v>
      </c>
      <c r="U79">
        <v>27</v>
      </c>
      <c r="V79">
        <v>30</v>
      </c>
      <c r="W79">
        <v>72.599999999999994</v>
      </c>
      <c r="X79" t="s">
        <v>30</v>
      </c>
      <c r="Y79" t="s">
        <v>31</v>
      </c>
      <c r="Z79" t="s">
        <v>29</v>
      </c>
    </row>
    <row r="80" spans="1:26" ht="30" customHeight="1">
      <c r="A80">
        <v>2006586637</v>
      </c>
      <c r="B80">
        <f>COUNTIF(A:A,A80)</f>
        <v>1</v>
      </c>
      <c r="C80" s="1">
        <f t="shared" ca="1" si="3"/>
        <v>21356</v>
      </c>
      <c r="D80" s="1">
        <v>42600</v>
      </c>
      <c r="E80" s="4">
        <f ca="1">DATEDIF(Table1[[#This Row],[DOB]],Table1[[#This Row],[eventDate]],"Y")</f>
        <v>58</v>
      </c>
      <c r="F80" s="4" t="str">
        <f t="shared" si="4"/>
        <v>Man</v>
      </c>
      <c r="G80" s="4">
        <f ca="1">_xlfn.DAYS(TODAY(),Table1[[#This Row],[eventDate]])</f>
        <v>3513</v>
      </c>
      <c r="H80" t="s">
        <v>27</v>
      </c>
      <c r="I80" t="s">
        <v>28</v>
      </c>
      <c r="J80" t="s">
        <v>29</v>
      </c>
      <c r="K80" s="1">
        <v>42847</v>
      </c>
      <c r="L80">
        <f t="shared" si="5"/>
        <v>247</v>
      </c>
      <c r="M80">
        <f>IF(Table1[[#This Row],[Alive]]="No",Table1[[#This Row],[daysDeath]],Table1[[#This Row],[daysSince]])</f>
        <v>247</v>
      </c>
      <c r="N80">
        <v>135</v>
      </c>
      <c r="O80">
        <v>9.8000000000000007</v>
      </c>
      <c r="P80">
        <v>180</v>
      </c>
      <c r="Q80">
        <v>11</v>
      </c>
      <c r="R80">
        <v>4.5</v>
      </c>
      <c r="S80">
        <v>66</v>
      </c>
      <c r="T80">
        <v>286</v>
      </c>
      <c r="U80">
        <v>23</v>
      </c>
      <c r="V80">
        <v>37</v>
      </c>
      <c r="W80">
        <v>62.2</v>
      </c>
      <c r="X80" t="s">
        <v>30</v>
      </c>
      <c r="Y80" t="s">
        <v>29</v>
      </c>
      <c r="Z80" t="s">
        <v>29</v>
      </c>
    </row>
    <row r="81" spans="1:26" ht="30" customHeight="1">
      <c r="A81">
        <v>101536054</v>
      </c>
      <c r="B81">
        <f>COUNTIF(A:A,A81)</f>
        <v>1</v>
      </c>
      <c r="C81" s="1">
        <f t="shared" ref="C81:C118" ca="1" si="6">DATE(
    IF(VALUE(MID(TEXT(A81,"0000000000"),5,2)) &gt; VALUE(TEXT(TODAY(),"YY")),
       1900 + VALUE(MID(TEXT(A81,"0000000000"),5,2)),
       2000 + VALUE(MID(TEXT(A81,"0000000000"),5,2))
    ),
    VALUE(MID(TEXT(A81,"0000000000"),3,2)),
    VALUE(LEFT(TEXT(A81,"0000000000"),2))
)</f>
        <v>19360</v>
      </c>
      <c r="D81" s="1">
        <v>42608</v>
      </c>
      <c r="E81" s="4">
        <f ca="1">DATEDIF(Table1[[#This Row],[DOB]],Table1[[#This Row],[eventDate]],"Y")</f>
        <v>63</v>
      </c>
      <c r="F81" s="4" t="str">
        <f t="shared" ref="F81:F118" si="7">IF(MOD(VALUE(MID(TEXT(A81,"0000000000"),9,1)),2)=0,"Woman","Man")</f>
        <v>Man</v>
      </c>
      <c r="G81" s="4">
        <f ca="1">_xlfn.DAYS(TODAY(),Table1[[#This Row],[eventDate]])</f>
        <v>3505</v>
      </c>
      <c r="H81" t="s">
        <v>32</v>
      </c>
      <c r="I81" t="s">
        <v>34</v>
      </c>
      <c r="J81" t="s">
        <v>29</v>
      </c>
      <c r="K81" s="1">
        <v>42749</v>
      </c>
      <c r="L81">
        <f t="shared" ref="L81:L118" si="8">IF(J81="No",_xlfn.DAYS(K81,D81),"")</f>
        <v>141</v>
      </c>
      <c r="M81">
        <f>IF(Table1[[#This Row],[Alive]]="No",Table1[[#This Row],[daysDeath]],Table1[[#This Row],[daysSince]])</f>
        <v>141</v>
      </c>
      <c r="N81">
        <v>117</v>
      </c>
      <c r="O81">
        <v>6</v>
      </c>
      <c r="P81">
        <v>245</v>
      </c>
      <c r="Q81">
        <v>14</v>
      </c>
      <c r="R81">
        <v>4.2</v>
      </c>
      <c r="S81">
        <v>64</v>
      </c>
      <c r="T81">
        <v>298</v>
      </c>
      <c r="U81">
        <v>25</v>
      </c>
      <c r="V81">
        <v>54</v>
      </c>
      <c r="W81">
        <v>57</v>
      </c>
      <c r="X81" t="s">
        <v>30</v>
      </c>
      <c r="Y81" t="s">
        <v>29</v>
      </c>
      <c r="Z81" t="s">
        <v>29</v>
      </c>
    </row>
    <row r="82" spans="1:26" ht="30" customHeight="1">
      <c r="A82">
        <v>1406645419</v>
      </c>
      <c r="B82">
        <f>COUNTIF(A:A,A82)</f>
        <v>1</v>
      </c>
      <c r="C82" s="1">
        <f t="shared" ca="1" si="6"/>
        <v>23542</v>
      </c>
      <c r="D82" s="1">
        <v>42621</v>
      </c>
      <c r="E82" s="4">
        <f ca="1">DATEDIF(Table1[[#This Row],[DOB]],Table1[[#This Row],[eventDate]],"Y")</f>
        <v>52</v>
      </c>
      <c r="F82" s="4" t="str">
        <f t="shared" si="7"/>
        <v>Man</v>
      </c>
      <c r="G82" s="4">
        <f ca="1">_xlfn.DAYS(TODAY(),Table1[[#This Row],[eventDate]])</f>
        <v>3492</v>
      </c>
      <c r="H82" t="s">
        <v>32</v>
      </c>
      <c r="I82" t="s">
        <v>28</v>
      </c>
      <c r="J82" t="s">
        <v>29</v>
      </c>
      <c r="K82" s="7">
        <v>43264</v>
      </c>
      <c r="L82">
        <f t="shared" si="8"/>
        <v>643</v>
      </c>
      <c r="M82">
        <f>IF(Table1[[#This Row],[Alive]]="No",Table1[[#This Row],[daysDeath]],Table1[[#This Row],[daysSince]])</f>
        <v>643</v>
      </c>
      <c r="N82">
        <v>166</v>
      </c>
      <c r="O82">
        <v>9.5</v>
      </c>
      <c r="P82">
        <v>288</v>
      </c>
      <c r="Q82">
        <v>10</v>
      </c>
      <c r="R82">
        <v>3.1</v>
      </c>
      <c r="S82">
        <v>94</v>
      </c>
      <c r="T82">
        <v>29</v>
      </c>
      <c r="U82">
        <v>41</v>
      </c>
      <c r="V82">
        <v>2</v>
      </c>
      <c r="W82">
        <v>89.6</v>
      </c>
      <c r="X82" t="s">
        <v>33</v>
      </c>
      <c r="Y82" t="s">
        <v>29</v>
      </c>
      <c r="Z82" t="s">
        <v>29</v>
      </c>
    </row>
    <row r="83" spans="1:26" ht="30" customHeight="1">
      <c r="A83">
        <v>1502403390</v>
      </c>
      <c r="B83">
        <f>COUNTIF(A:A,A83)</f>
        <v>1</v>
      </c>
      <c r="C83" s="1">
        <f t="shared" ca="1" si="6"/>
        <v>14656</v>
      </c>
      <c r="D83" s="1">
        <v>42628</v>
      </c>
      <c r="E83" s="4">
        <f ca="1">DATEDIF(Table1[[#This Row],[DOB]],Table1[[#This Row],[eventDate]],"Y")</f>
        <v>76</v>
      </c>
      <c r="F83" s="4" t="str">
        <f t="shared" si="7"/>
        <v>Man</v>
      </c>
      <c r="G83" s="4">
        <f ca="1">_xlfn.DAYS(TODAY(),Table1[[#This Row],[eventDate]])</f>
        <v>3485</v>
      </c>
      <c r="H83" t="s">
        <v>32</v>
      </c>
      <c r="I83" t="s">
        <v>28</v>
      </c>
      <c r="J83" t="s">
        <v>29</v>
      </c>
      <c r="K83" s="6">
        <v>42677</v>
      </c>
      <c r="L83">
        <f t="shared" si="8"/>
        <v>49</v>
      </c>
      <c r="M83">
        <f>IF(Table1[[#This Row],[Alive]]="No",Table1[[#This Row],[daysDeath]],Table1[[#This Row],[daysSince]])</f>
        <v>49</v>
      </c>
      <c r="N83">
        <v>64</v>
      </c>
      <c r="O83">
        <v>17.100000000000001</v>
      </c>
      <c r="P83">
        <v>447</v>
      </c>
      <c r="Q83">
        <v>16</v>
      </c>
      <c r="R83">
        <v>6.3</v>
      </c>
      <c r="S83">
        <v>65</v>
      </c>
      <c r="T83">
        <v>250</v>
      </c>
      <c r="U83">
        <v>16</v>
      </c>
      <c r="V83">
        <v>69</v>
      </c>
      <c r="W83">
        <v>68</v>
      </c>
      <c r="X83" t="s">
        <v>30</v>
      </c>
      <c r="Y83" t="s">
        <v>29</v>
      </c>
      <c r="Z83" t="s">
        <v>29</v>
      </c>
    </row>
    <row r="84" spans="1:26" ht="30" customHeight="1">
      <c r="A84">
        <v>609403095</v>
      </c>
      <c r="B84">
        <f>COUNTIF(A:A,A84)</f>
        <v>1</v>
      </c>
      <c r="C84" s="1">
        <f t="shared" ca="1" si="6"/>
        <v>14860</v>
      </c>
      <c r="D84" s="1">
        <v>42633</v>
      </c>
      <c r="E84" s="4">
        <f ca="1">DATEDIF(Table1[[#This Row],[DOB]],Table1[[#This Row],[eventDate]],"Y")</f>
        <v>76</v>
      </c>
      <c r="F84" s="4" t="str">
        <f t="shared" si="7"/>
        <v>Man</v>
      </c>
      <c r="G84" s="4">
        <f ca="1">_xlfn.DAYS(TODAY(),Table1[[#This Row],[eventDate]])</f>
        <v>3480</v>
      </c>
      <c r="H84" t="s">
        <v>27</v>
      </c>
      <c r="I84" t="s">
        <v>28</v>
      </c>
      <c r="J84" t="s">
        <v>29</v>
      </c>
      <c r="K84" s="1">
        <v>43795</v>
      </c>
      <c r="L84">
        <f t="shared" si="8"/>
        <v>1162</v>
      </c>
      <c r="M84">
        <f>IF(Table1[[#This Row],[Alive]]="No",Table1[[#This Row],[daysDeath]],Table1[[#This Row],[daysSince]])</f>
        <v>1162</v>
      </c>
      <c r="N84">
        <v>109</v>
      </c>
      <c r="O84">
        <v>9.9</v>
      </c>
      <c r="P84">
        <v>269</v>
      </c>
      <c r="Q84">
        <v>11</v>
      </c>
      <c r="R84">
        <v>4.4000000000000004</v>
      </c>
      <c r="S84">
        <v>49</v>
      </c>
      <c r="T84">
        <v>76</v>
      </c>
      <c r="U84">
        <v>28</v>
      </c>
      <c r="V84">
        <v>57</v>
      </c>
      <c r="W84">
        <v>55.3</v>
      </c>
      <c r="X84" t="s">
        <v>33</v>
      </c>
      <c r="Y84" t="s">
        <v>29</v>
      </c>
      <c r="Z84" t="s">
        <v>29</v>
      </c>
    </row>
    <row r="85" spans="1:26" ht="30" customHeight="1">
      <c r="A85">
        <v>1407456458</v>
      </c>
      <c r="B85">
        <f>COUNTIF(A:A,A85)</f>
        <v>1</v>
      </c>
      <c r="C85" s="1">
        <f t="shared" ca="1" si="6"/>
        <v>16632</v>
      </c>
      <c r="D85" s="1">
        <v>42636</v>
      </c>
      <c r="E85" s="4">
        <f ca="1">DATEDIF(Table1[[#This Row],[DOB]],Table1[[#This Row],[eventDate]],"Y")</f>
        <v>71</v>
      </c>
      <c r="F85" s="4" t="str">
        <f t="shared" si="7"/>
        <v>Man</v>
      </c>
      <c r="G85" s="4">
        <f ca="1">_xlfn.DAYS(TODAY(),Table1[[#This Row],[eventDate]])</f>
        <v>3477</v>
      </c>
      <c r="H85" t="s">
        <v>32</v>
      </c>
      <c r="I85" t="s">
        <v>34</v>
      </c>
      <c r="J85" t="s">
        <v>29</v>
      </c>
      <c r="K85" s="1">
        <v>42644</v>
      </c>
      <c r="L85">
        <f t="shared" si="8"/>
        <v>8</v>
      </c>
      <c r="M85">
        <f>IF(Table1[[#This Row],[Alive]]="No",Table1[[#This Row],[daysDeath]],Table1[[#This Row],[daysSince]])</f>
        <v>8</v>
      </c>
      <c r="N85">
        <v>116</v>
      </c>
      <c r="O85">
        <v>15.9</v>
      </c>
      <c r="P85">
        <v>444</v>
      </c>
      <c r="Q85">
        <v>10</v>
      </c>
      <c r="R85">
        <v>9.1999999999999993</v>
      </c>
      <c r="S85">
        <v>113</v>
      </c>
      <c r="T85">
        <v>501</v>
      </c>
      <c r="U85">
        <v>19</v>
      </c>
      <c r="V85">
        <v>121</v>
      </c>
      <c r="X85" t="s">
        <v>30</v>
      </c>
      <c r="Y85" t="s">
        <v>29</v>
      </c>
      <c r="Z85" t="s">
        <v>31</v>
      </c>
    </row>
    <row r="86" spans="1:26" ht="30" customHeight="1">
      <c r="A86">
        <v>1207416436</v>
      </c>
      <c r="B86">
        <f>COUNTIF(A:A,A86)</f>
        <v>1</v>
      </c>
      <c r="C86" s="1">
        <f t="shared" ca="1" si="6"/>
        <v>15169</v>
      </c>
      <c r="D86" s="1">
        <v>42642</v>
      </c>
      <c r="E86" s="4">
        <f ca="1">DATEDIF(Table1[[#This Row],[DOB]],Table1[[#This Row],[eventDate]],"Y")</f>
        <v>75</v>
      </c>
      <c r="F86" s="4" t="str">
        <f t="shared" si="7"/>
        <v>Man</v>
      </c>
      <c r="G86" s="4">
        <f ca="1">_xlfn.DAYS(TODAY(),Table1[[#This Row],[eventDate]])</f>
        <v>3471</v>
      </c>
      <c r="H86" t="s">
        <v>32</v>
      </c>
      <c r="I86" t="s">
        <v>34</v>
      </c>
      <c r="J86" t="s">
        <v>29</v>
      </c>
      <c r="K86" s="1">
        <v>42729</v>
      </c>
      <c r="L86">
        <f t="shared" si="8"/>
        <v>87</v>
      </c>
      <c r="M86">
        <f>IF(Table1[[#This Row],[Alive]]="No",Table1[[#This Row],[daysDeath]],Table1[[#This Row],[daysSince]])</f>
        <v>87</v>
      </c>
      <c r="N86">
        <v>128</v>
      </c>
      <c r="O86">
        <v>6.1</v>
      </c>
      <c r="P86">
        <v>268</v>
      </c>
      <c r="Q86">
        <v>10</v>
      </c>
      <c r="R86">
        <v>4.5999999999999996</v>
      </c>
      <c r="S86">
        <v>65</v>
      </c>
      <c r="T86">
        <v>461</v>
      </c>
      <c r="U86">
        <v>23</v>
      </c>
      <c r="V86">
        <v>6</v>
      </c>
      <c r="W86">
        <v>64</v>
      </c>
      <c r="X86" t="s">
        <v>30</v>
      </c>
      <c r="Y86" t="s">
        <v>29</v>
      </c>
      <c r="Z86" t="s">
        <v>29</v>
      </c>
    </row>
    <row r="87" spans="1:26" ht="30" customHeight="1">
      <c r="A87">
        <v>1110613431</v>
      </c>
      <c r="B87">
        <f>COUNTIF(A:A,A87)</f>
        <v>1</v>
      </c>
      <c r="C87" s="1">
        <f t="shared" ca="1" si="6"/>
        <v>22565</v>
      </c>
      <c r="D87" s="1">
        <v>42643</v>
      </c>
      <c r="E87" s="4">
        <f ca="1">DATEDIF(Table1[[#This Row],[DOB]],Table1[[#This Row],[eventDate]],"Y")</f>
        <v>54</v>
      </c>
      <c r="F87" s="4" t="str">
        <f t="shared" si="7"/>
        <v>Man</v>
      </c>
      <c r="G87" s="4">
        <f ca="1">_xlfn.DAYS(TODAY(),Table1[[#This Row],[eventDate]])</f>
        <v>3470</v>
      </c>
      <c r="H87" t="s">
        <v>32</v>
      </c>
      <c r="I87" t="s">
        <v>28</v>
      </c>
      <c r="J87" t="s">
        <v>29</v>
      </c>
      <c r="K87" s="1">
        <v>43361</v>
      </c>
      <c r="L87">
        <f t="shared" si="8"/>
        <v>718</v>
      </c>
      <c r="M87">
        <f>IF(Table1[[#This Row],[Alive]]="No",Table1[[#This Row],[daysDeath]],Table1[[#This Row],[daysSince]])</f>
        <v>718</v>
      </c>
      <c r="N87">
        <v>112</v>
      </c>
      <c r="O87">
        <v>13.9</v>
      </c>
      <c r="P87">
        <v>299</v>
      </c>
      <c r="Q87">
        <v>13</v>
      </c>
      <c r="R87">
        <v>3.3</v>
      </c>
      <c r="S87">
        <v>69</v>
      </c>
      <c r="T87">
        <v>462</v>
      </c>
      <c r="U87">
        <v>24</v>
      </c>
      <c r="V87">
        <v>80</v>
      </c>
      <c r="W87">
        <v>82</v>
      </c>
      <c r="X87" t="s">
        <v>30</v>
      </c>
      <c r="Y87" t="s">
        <v>31</v>
      </c>
      <c r="Z87" t="s">
        <v>29</v>
      </c>
    </row>
    <row r="88" spans="1:26" ht="30" customHeight="1">
      <c r="A88">
        <v>2111523372</v>
      </c>
      <c r="B88">
        <f>COUNTIF(A:A,A88)</f>
        <v>1</v>
      </c>
      <c r="C88" s="1">
        <f t="shared" ca="1" si="6"/>
        <v>19319</v>
      </c>
      <c r="D88" s="1">
        <v>42656</v>
      </c>
      <c r="E88" s="4">
        <f ca="1">DATEDIF(Table1[[#This Row],[DOB]],Table1[[#This Row],[eventDate]],"Y")</f>
        <v>63</v>
      </c>
      <c r="F88" s="4" t="str">
        <f t="shared" si="7"/>
        <v>Man</v>
      </c>
      <c r="G88" s="4">
        <f ca="1">_xlfn.DAYS(TODAY(),Table1[[#This Row],[eventDate]])</f>
        <v>3457</v>
      </c>
      <c r="H88" t="s">
        <v>32</v>
      </c>
      <c r="I88" t="s">
        <v>28</v>
      </c>
      <c r="J88" t="s">
        <v>31</v>
      </c>
      <c r="L88" t="str">
        <f t="shared" si="8"/>
        <v/>
      </c>
      <c r="M88">
        <f ca="1">IF(Table1[[#This Row],[Alive]]="No",Table1[[#This Row],[daysDeath]],Table1[[#This Row],[daysSince]])</f>
        <v>3457</v>
      </c>
      <c r="N88">
        <v>145</v>
      </c>
      <c r="O88">
        <v>5.2</v>
      </c>
      <c r="P88">
        <v>153</v>
      </c>
      <c r="Q88">
        <v>12</v>
      </c>
      <c r="R88">
        <v>3.4</v>
      </c>
      <c r="S88">
        <v>101</v>
      </c>
      <c r="T88">
        <v>47</v>
      </c>
      <c r="U88">
        <v>30</v>
      </c>
      <c r="V88">
        <v>15</v>
      </c>
      <c r="X88" t="s">
        <v>33</v>
      </c>
      <c r="Y88" t="s">
        <v>31</v>
      </c>
      <c r="Z88" t="s">
        <v>29</v>
      </c>
    </row>
    <row r="89" spans="1:26" ht="30" customHeight="1">
      <c r="A89">
        <v>905285212</v>
      </c>
      <c r="B89">
        <f>COUNTIF(A:A,A89)</f>
        <v>1</v>
      </c>
      <c r="C89" s="1">
        <f t="shared" ca="1" si="6"/>
        <v>10357</v>
      </c>
      <c r="D89" s="1">
        <v>42660</v>
      </c>
      <c r="E89" s="4">
        <f ca="1">DATEDIF(Table1[[#This Row],[DOB]],Table1[[#This Row],[eventDate]],"Y")</f>
        <v>88</v>
      </c>
      <c r="F89" s="4" t="str">
        <f t="shared" si="7"/>
        <v>Man</v>
      </c>
      <c r="G89" s="4">
        <f ca="1">_xlfn.DAYS(TODAY(),Table1[[#This Row],[eventDate]])</f>
        <v>3453</v>
      </c>
      <c r="H89" t="s">
        <v>32</v>
      </c>
      <c r="I89" t="s">
        <v>28</v>
      </c>
      <c r="J89" t="s">
        <v>29</v>
      </c>
      <c r="K89" s="1">
        <v>42689</v>
      </c>
      <c r="L89">
        <f t="shared" si="8"/>
        <v>29</v>
      </c>
      <c r="M89">
        <f>IF(Table1[[#This Row],[Alive]]="No",Table1[[#This Row],[daysDeath]],Table1[[#This Row],[daysSince]])</f>
        <v>29</v>
      </c>
      <c r="N89">
        <v>123</v>
      </c>
      <c r="O89">
        <v>10.4</v>
      </c>
      <c r="P89">
        <v>351</v>
      </c>
      <c r="Q89">
        <v>11</v>
      </c>
      <c r="R89">
        <v>4</v>
      </c>
      <c r="S89">
        <v>88</v>
      </c>
      <c r="T89">
        <v>365</v>
      </c>
      <c r="U89">
        <v>21</v>
      </c>
      <c r="V89">
        <v>20</v>
      </c>
      <c r="X89" t="s">
        <v>30</v>
      </c>
      <c r="Y89" t="s">
        <v>31</v>
      </c>
      <c r="Z89" t="s">
        <v>29</v>
      </c>
    </row>
    <row r="90" spans="1:26" ht="30" customHeight="1">
      <c r="A90">
        <v>1402563051</v>
      </c>
      <c r="B90">
        <f>COUNTIF(A:A,A90)</f>
        <v>1</v>
      </c>
      <c r="C90" s="1">
        <f t="shared" ca="1" si="6"/>
        <v>20499</v>
      </c>
      <c r="D90" s="1">
        <v>42668</v>
      </c>
      <c r="E90" s="4">
        <f ca="1">DATEDIF(Table1[[#This Row],[DOB]],Table1[[#This Row],[eventDate]],"Y")</f>
        <v>60</v>
      </c>
      <c r="F90" s="4" t="str">
        <f t="shared" si="7"/>
        <v>Man</v>
      </c>
      <c r="G90" s="4">
        <f ca="1">_xlfn.DAYS(TODAY(),Table1[[#This Row],[eventDate]])</f>
        <v>3445</v>
      </c>
      <c r="H90" t="s">
        <v>27</v>
      </c>
      <c r="I90" t="s">
        <v>28</v>
      </c>
      <c r="J90" t="s">
        <v>29</v>
      </c>
      <c r="K90" s="1">
        <v>42715</v>
      </c>
      <c r="L90">
        <f t="shared" si="8"/>
        <v>47</v>
      </c>
      <c r="M90">
        <f>IF(Table1[[#This Row],[Alive]]="No",Table1[[#This Row],[daysDeath]],Table1[[#This Row],[daysSince]])</f>
        <v>47</v>
      </c>
      <c r="N90">
        <v>94</v>
      </c>
      <c r="O90">
        <v>13</v>
      </c>
      <c r="P90">
        <v>571</v>
      </c>
      <c r="Q90">
        <v>14</v>
      </c>
      <c r="R90">
        <v>3.5</v>
      </c>
      <c r="S90">
        <v>51</v>
      </c>
      <c r="T90">
        <v>138</v>
      </c>
      <c r="U90">
        <v>17</v>
      </c>
      <c r="V90">
        <v>139</v>
      </c>
      <c r="W90">
        <v>65</v>
      </c>
      <c r="X90" t="s">
        <v>30</v>
      </c>
      <c r="Y90" t="s">
        <v>31</v>
      </c>
      <c r="Z90" t="s">
        <v>29</v>
      </c>
    </row>
    <row r="91" spans="1:26" ht="30" customHeight="1">
      <c r="A91">
        <v>901346276</v>
      </c>
      <c r="B91">
        <f>COUNTIF(A:A,A91)</f>
        <v>1</v>
      </c>
      <c r="C91" s="1">
        <f t="shared" ca="1" si="6"/>
        <v>12428</v>
      </c>
      <c r="D91" s="1">
        <v>42671</v>
      </c>
      <c r="E91" s="4">
        <f ca="1">DATEDIF(Table1[[#This Row],[DOB]],Table1[[#This Row],[eventDate]],"Y")</f>
        <v>82</v>
      </c>
      <c r="F91" s="4" t="str">
        <f t="shared" si="7"/>
        <v>Man</v>
      </c>
      <c r="G91" s="4">
        <f ca="1">_xlfn.DAYS(TODAY(),Table1[[#This Row],[eventDate]])</f>
        <v>3442</v>
      </c>
      <c r="H91" t="s">
        <v>32</v>
      </c>
      <c r="I91" t="s">
        <v>34</v>
      </c>
      <c r="J91" t="s">
        <v>29</v>
      </c>
      <c r="K91" s="1">
        <v>42901</v>
      </c>
      <c r="L91">
        <f t="shared" si="8"/>
        <v>230</v>
      </c>
      <c r="M91">
        <f>IF(Table1[[#This Row],[Alive]]="No",Table1[[#This Row],[daysDeath]],Table1[[#This Row],[daysSince]])</f>
        <v>230</v>
      </c>
      <c r="N91">
        <v>120</v>
      </c>
      <c r="O91">
        <v>4</v>
      </c>
      <c r="P91">
        <v>97</v>
      </c>
      <c r="Q91">
        <v>11</v>
      </c>
      <c r="R91">
        <v>6.5</v>
      </c>
      <c r="S91">
        <v>89</v>
      </c>
      <c r="T91">
        <v>302</v>
      </c>
      <c r="U91">
        <v>27</v>
      </c>
      <c r="V91">
        <v>6</v>
      </c>
      <c r="W91">
        <v>46.5</v>
      </c>
      <c r="X91" t="s">
        <v>30</v>
      </c>
      <c r="Y91" t="s">
        <v>31</v>
      </c>
      <c r="Z91" t="s">
        <v>29</v>
      </c>
    </row>
    <row r="92" spans="1:26" ht="30" customHeight="1">
      <c r="A92">
        <v>2509476106</v>
      </c>
      <c r="B92">
        <f>COUNTIF(A:A,A92)</f>
        <v>1</v>
      </c>
      <c r="C92" s="1">
        <f t="shared" ca="1" si="6"/>
        <v>17435</v>
      </c>
      <c r="D92" s="1">
        <v>42717</v>
      </c>
      <c r="E92" s="4">
        <f ca="1">DATEDIF(Table1[[#This Row],[DOB]],Table1[[#This Row],[eventDate]],"Y")</f>
        <v>69</v>
      </c>
      <c r="F92" s="4" t="str">
        <f t="shared" si="7"/>
        <v>Woman</v>
      </c>
      <c r="G92" s="4">
        <f ca="1">_xlfn.DAYS(TODAY(),Table1[[#This Row],[eventDate]])</f>
        <v>3396</v>
      </c>
      <c r="H92" t="s">
        <v>32</v>
      </c>
      <c r="I92" t="s">
        <v>28</v>
      </c>
      <c r="J92" t="s">
        <v>29</v>
      </c>
      <c r="K92" s="1">
        <v>43002</v>
      </c>
      <c r="L92">
        <f t="shared" si="8"/>
        <v>285</v>
      </c>
      <c r="M92">
        <f>IF(Table1[[#This Row],[Alive]]="No",Table1[[#This Row],[daysDeath]],Table1[[#This Row],[daysSince]])</f>
        <v>285</v>
      </c>
      <c r="N92">
        <v>109</v>
      </c>
      <c r="O92">
        <v>10.9</v>
      </c>
      <c r="P92">
        <v>449</v>
      </c>
      <c r="Q92">
        <v>11</v>
      </c>
      <c r="R92">
        <v>8.4</v>
      </c>
      <c r="S92">
        <v>61</v>
      </c>
      <c r="T92">
        <v>194</v>
      </c>
      <c r="U92">
        <v>25</v>
      </c>
      <c r="V92">
        <v>5</v>
      </c>
      <c r="W92">
        <v>42.7</v>
      </c>
      <c r="X92" t="s">
        <v>30</v>
      </c>
      <c r="Y92" t="s">
        <v>29</v>
      </c>
      <c r="Z92" t="s">
        <v>29</v>
      </c>
    </row>
    <row r="93" spans="1:26" ht="30" customHeight="1">
      <c r="A93">
        <v>2109416203</v>
      </c>
      <c r="B93">
        <f>COUNTIF(A:A,A93)</f>
        <v>1</v>
      </c>
      <c r="C93" s="1">
        <f t="shared" ca="1" si="6"/>
        <v>15240</v>
      </c>
      <c r="D93" s="1">
        <v>42727</v>
      </c>
      <c r="E93" s="4">
        <f ca="1">DATEDIF(Table1[[#This Row],[DOB]],Table1[[#This Row],[eventDate]],"Y")</f>
        <v>75</v>
      </c>
      <c r="F93" s="4" t="str">
        <f t="shared" si="7"/>
        <v>Woman</v>
      </c>
      <c r="G93" s="4">
        <f ca="1">_xlfn.DAYS(TODAY(),Table1[[#This Row],[eventDate]])</f>
        <v>3386</v>
      </c>
      <c r="H93" t="s">
        <v>32</v>
      </c>
      <c r="I93" t="s">
        <v>34</v>
      </c>
      <c r="J93" t="s">
        <v>29</v>
      </c>
      <c r="K93" s="1">
        <v>42749</v>
      </c>
      <c r="L93">
        <f t="shared" si="8"/>
        <v>22</v>
      </c>
      <c r="M93">
        <f>IF(Table1[[#This Row],[Alive]]="No",Table1[[#This Row],[daysDeath]],Table1[[#This Row],[daysSince]])</f>
        <v>22</v>
      </c>
      <c r="N93">
        <v>99</v>
      </c>
      <c r="O93">
        <v>16.399999999999999</v>
      </c>
      <c r="P93">
        <v>455</v>
      </c>
      <c r="Q93">
        <v>14</v>
      </c>
      <c r="R93">
        <v>7.5</v>
      </c>
      <c r="S93">
        <v>59</v>
      </c>
      <c r="T93">
        <v>248</v>
      </c>
      <c r="U93">
        <v>18</v>
      </c>
      <c r="V93">
        <v>154</v>
      </c>
      <c r="W93">
        <v>58</v>
      </c>
      <c r="X93" t="s">
        <v>30</v>
      </c>
      <c r="Y93" t="s">
        <v>29</v>
      </c>
      <c r="Z93" t="s">
        <v>31</v>
      </c>
    </row>
    <row r="94" spans="1:26" ht="30" customHeight="1">
      <c r="A94">
        <v>2909403009</v>
      </c>
      <c r="B94">
        <f>COUNTIF(A:A,A94)</f>
        <v>1</v>
      </c>
      <c r="C94" s="1">
        <f t="shared" ca="1" si="6"/>
        <v>14883</v>
      </c>
      <c r="D94" s="1">
        <v>42729</v>
      </c>
      <c r="E94" s="4">
        <f ca="1">DATEDIF(Table1[[#This Row],[DOB]],Table1[[#This Row],[eventDate]],"Y")</f>
        <v>76</v>
      </c>
      <c r="F94" s="4" t="str">
        <f t="shared" si="7"/>
        <v>Woman</v>
      </c>
      <c r="G94" s="4">
        <f ca="1">_xlfn.DAYS(TODAY(),Table1[[#This Row],[eventDate]])</f>
        <v>3384</v>
      </c>
      <c r="H94" t="s">
        <v>32</v>
      </c>
      <c r="I94" t="s">
        <v>34</v>
      </c>
      <c r="J94" t="s">
        <v>29</v>
      </c>
      <c r="K94" s="1">
        <v>44598</v>
      </c>
      <c r="L94">
        <f t="shared" si="8"/>
        <v>1869</v>
      </c>
      <c r="M94">
        <f>IF(Table1[[#This Row],[Alive]]="No",Table1[[#This Row],[daysDeath]],Table1[[#This Row],[daysSince]])</f>
        <v>1869</v>
      </c>
      <c r="N94">
        <v>114</v>
      </c>
      <c r="O94">
        <v>33.9</v>
      </c>
      <c r="P94">
        <v>201</v>
      </c>
      <c r="Q94">
        <v>25</v>
      </c>
      <c r="R94">
        <v>6.7</v>
      </c>
      <c r="S94">
        <v>89</v>
      </c>
      <c r="T94">
        <v>144</v>
      </c>
      <c r="U94">
        <v>27</v>
      </c>
      <c r="V94">
        <v>233</v>
      </c>
      <c r="W94">
        <v>51</v>
      </c>
      <c r="X94" t="s">
        <v>33</v>
      </c>
      <c r="Y94" t="s">
        <v>29</v>
      </c>
      <c r="Z94" t="s">
        <v>29</v>
      </c>
    </row>
    <row r="95" spans="1:26" ht="30" customHeight="1">
      <c r="A95">
        <v>111435110</v>
      </c>
      <c r="B95">
        <f>COUNTIF(A:A,A95)</f>
        <v>1</v>
      </c>
      <c r="C95" s="1">
        <f t="shared" ca="1" si="6"/>
        <v>16011</v>
      </c>
      <c r="D95" s="1">
        <v>42733</v>
      </c>
      <c r="E95" s="4">
        <f ca="1">DATEDIF(Table1[[#This Row],[DOB]],Table1[[#This Row],[eventDate]],"Y")</f>
        <v>73</v>
      </c>
      <c r="F95" s="4" t="str">
        <f t="shared" si="7"/>
        <v>Man</v>
      </c>
      <c r="G95" s="4">
        <f ca="1">_xlfn.DAYS(TODAY(),Table1[[#This Row],[eventDate]])</f>
        <v>3380</v>
      </c>
      <c r="H95" t="s">
        <v>27</v>
      </c>
      <c r="I95" t="s">
        <v>28</v>
      </c>
      <c r="J95" t="s">
        <v>29</v>
      </c>
      <c r="K95" s="1">
        <v>42812</v>
      </c>
      <c r="L95">
        <f t="shared" si="8"/>
        <v>79</v>
      </c>
      <c r="M95">
        <f>IF(Table1[[#This Row],[Alive]]="No",Table1[[#This Row],[daysDeath]],Table1[[#This Row],[daysSince]])</f>
        <v>79</v>
      </c>
      <c r="N95">
        <v>138</v>
      </c>
      <c r="O95">
        <v>8.5</v>
      </c>
      <c r="P95">
        <v>277</v>
      </c>
      <c r="Q95">
        <v>15</v>
      </c>
      <c r="R95">
        <v>6.2</v>
      </c>
      <c r="S95">
        <v>64</v>
      </c>
      <c r="T95">
        <v>169</v>
      </c>
      <c r="U95">
        <v>27</v>
      </c>
      <c r="V95">
        <v>39</v>
      </c>
      <c r="W95">
        <v>53</v>
      </c>
      <c r="X95" t="s">
        <v>30</v>
      </c>
      <c r="Y95" t="s">
        <v>31</v>
      </c>
      <c r="Z95" t="s">
        <v>29</v>
      </c>
    </row>
    <row r="96" spans="1:26" ht="30" customHeight="1">
      <c r="A96">
        <v>1106603060</v>
      </c>
      <c r="B96">
        <f>COUNTIF(A:A,A96)</f>
        <v>1</v>
      </c>
      <c r="C96" s="1">
        <f t="shared" ca="1" si="6"/>
        <v>22078</v>
      </c>
      <c r="D96" s="1">
        <v>42734</v>
      </c>
      <c r="E96" s="4">
        <f ca="1">DATEDIF(Table1[[#This Row],[DOB]],Table1[[#This Row],[eventDate]],"Y")</f>
        <v>56</v>
      </c>
      <c r="F96" s="4" t="str">
        <f t="shared" si="7"/>
        <v>Woman</v>
      </c>
      <c r="G96" s="4">
        <f ca="1">_xlfn.DAYS(TODAY(),Table1[[#This Row],[eventDate]])</f>
        <v>3379</v>
      </c>
      <c r="H96" t="s">
        <v>32</v>
      </c>
      <c r="I96" t="s">
        <v>28</v>
      </c>
      <c r="J96" t="s">
        <v>29</v>
      </c>
      <c r="K96" s="1">
        <v>45804</v>
      </c>
      <c r="L96">
        <f t="shared" si="8"/>
        <v>3070</v>
      </c>
      <c r="M96">
        <f>IF(Table1[[#This Row],[Alive]]="No",Table1[[#This Row],[daysDeath]],Table1[[#This Row],[daysSince]])</f>
        <v>3070</v>
      </c>
      <c r="N96">
        <v>109</v>
      </c>
      <c r="O96">
        <v>6.2</v>
      </c>
      <c r="P96">
        <v>389</v>
      </c>
      <c r="Q96">
        <v>13</v>
      </c>
      <c r="R96">
        <v>4</v>
      </c>
      <c r="S96">
        <v>72</v>
      </c>
      <c r="T96">
        <v>270</v>
      </c>
      <c r="U96">
        <v>26</v>
      </c>
      <c r="V96">
        <v>8</v>
      </c>
      <c r="W96">
        <v>43.5</v>
      </c>
      <c r="X96" t="s">
        <v>30</v>
      </c>
      <c r="Y96" t="s">
        <v>31</v>
      </c>
      <c r="Z96" t="s">
        <v>29</v>
      </c>
    </row>
    <row r="97" spans="1:27" ht="30" customHeight="1">
      <c r="A97">
        <v>603336337</v>
      </c>
      <c r="B97">
        <f>COUNTIF(A:A,A97)</f>
        <v>1</v>
      </c>
      <c r="C97" s="1">
        <f t="shared" ca="1" si="6"/>
        <v>12119</v>
      </c>
      <c r="D97" s="1">
        <v>42747</v>
      </c>
      <c r="E97" s="4">
        <f ca="1">DATEDIF(Table1[[#This Row],[DOB]],Table1[[#This Row],[eventDate]],"Y")</f>
        <v>83</v>
      </c>
      <c r="F97" s="4" t="str">
        <f t="shared" si="7"/>
        <v>Man</v>
      </c>
      <c r="G97" s="4">
        <f ca="1">_xlfn.DAYS(TODAY(),Table1[[#This Row],[eventDate]])</f>
        <v>3366</v>
      </c>
      <c r="H97" t="s">
        <v>32</v>
      </c>
      <c r="I97" t="s">
        <v>34</v>
      </c>
      <c r="J97" t="s">
        <v>29</v>
      </c>
      <c r="K97" s="1">
        <v>42783</v>
      </c>
      <c r="L97">
        <f t="shared" si="8"/>
        <v>36</v>
      </c>
      <c r="M97">
        <f>IF(Table1[[#This Row],[Alive]]="No",Table1[[#This Row],[daysDeath]],Table1[[#This Row],[daysSince]])</f>
        <v>36</v>
      </c>
      <c r="N97">
        <v>128</v>
      </c>
      <c r="O97">
        <v>6.7</v>
      </c>
      <c r="P97">
        <v>22</v>
      </c>
      <c r="Q97">
        <v>12</v>
      </c>
      <c r="R97">
        <v>4.0999999999999996</v>
      </c>
      <c r="S97">
        <v>66</v>
      </c>
      <c r="T97">
        <v>177</v>
      </c>
      <c r="U97">
        <v>25</v>
      </c>
      <c r="V97">
        <v>14</v>
      </c>
      <c r="X97" t="s">
        <v>30</v>
      </c>
      <c r="Y97" t="s">
        <v>29</v>
      </c>
      <c r="Z97" t="s">
        <v>31</v>
      </c>
    </row>
    <row r="98" spans="1:27" ht="30" customHeight="1">
      <c r="A98">
        <v>308546504</v>
      </c>
      <c r="B98">
        <f>COUNTIF(A:A,A98)</f>
        <v>1</v>
      </c>
      <c r="C98" s="1">
        <f t="shared" ca="1" si="6"/>
        <v>19939</v>
      </c>
      <c r="D98" s="1">
        <v>42753</v>
      </c>
      <c r="E98" s="4">
        <f ca="1">DATEDIF(Table1[[#This Row],[DOB]],Table1[[#This Row],[eventDate]],"Y")</f>
        <v>62</v>
      </c>
      <c r="F98" s="4" t="str">
        <f t="shared" si="7"/>
        <v>Woman</v>
      </c>
      <c r="G98" s="4">
        <f ca="1">_xlfn.DAYS(TODAY(),Table1[[#This Row],[eventDate]])</f>
        <v>3360</v>
      </c>
      <c r="H98" t="s">
        <v>32</v>
      </c>
      <c r="I98" t="s">
        <v>34</v>
      </c>
      <c r="J98" t="s">
        <v>29</v>
      </c>
      <c r="K98" s="1">
        <v>43448</v>
      </c>
      <c r="L98">
        <f t="shared" si="8"/>
        <v>695</v>
      </c>
      <c r="M98">
        <f>IF(Table1[[#This Row],[Alive]]="No",Table1[[#This Row],[daysDeath]],Table1[[#This Row],[daysSince]])</f>
        <v>695</v>
      </c>
      <c r="N98">
        <v>85</v>
      </c>
      <c r="O98">
        <v>14.8</v>
      </c>
      <c r="P98">
        <v>434</v>
      </c>
      <c r="Q98">
        <v>12</v>
      </c>
      <c r="R98">
        <v>2</v>
      </c>
      <c r="S98">
        <v>46</v>
      </c>
      <c r="T98">
        <v>291</v>
      </c>
      <c r="U98">
        <v>14</v>
      </c>
      <c r="V98">
        <v>81</v>
      </c>
      <c r="W98">
        <v>61</v>
      </c>
      <c r="X98" t="s">
        <v>30</v>
      </c>
      <c r="Y98" t="s">
        <v>29</v>
      </c>
      <c r="Z98" t="s">
        <v>29</v>
      </c>
    </row>
    <row r="99" spans="1:27" ht="30" customHeight="1">
      <c r="A99">
        <v>2604400502</v>
      </c>
      <c r="B99">
        <f>COUNTIF(A:A,A99)</f>
        <v>1</v>
      </c>
      <c r="C99" s="1">
        <f t="shared" ca="1" si="6"/>
        <v>14727</v>
      </c>
      <c r="D99" s="1">
        <v>42762</v>
      </c>
      <c r="E99" s="4">
        <f ca="1">DATEDIF(Table1[[#This Row],[DOB]],Table1[[#This Row],[eventDate]],"Y")</f>
        <v>76</v>
      </c>
      <c r="F99" s="4" t="str">
        <f t="shared" si="7"/>
        <v>Woman</v>
      </c>
      <c r="G99" s="4">
        <f ca="1">_xlfn.DAYS(TODAY(),Table1[[#This Row],[eventDate]])</f>
        <v>3351</v>
      </c>
      <c r="H99" t="s">
        <v>27</v>
      </c>
      <c r="I99" t="s">
        <v>28</v>
      </c>
      <c r="J99" t="s">
        <v>29</v>
      </c>
      <c r="K99" s="1">
        <v>42836</v>
      </c>
      <c r="L99">
        <f t="shared" si="8"/>
        <v>74</v>
      </c>
      <c r="M99">
        <f>IF(Table1[[#This Row],[Alive]]="No",Table1[[#This Row],[daysDeath]],Table1[[#This Row],[daysSince]])</f>
        <v>74</v>
      </c>
      <c r="N99">
        <v>88</v>
      </c>
      <c r="O99">
        <v>11.4</v>
      </c>
      <c r="P99">
        <v>489</v>
      </c>
      <c r="Q99">
        <v>12</v>
      </c>
      <c r="R99">
        <v>2.5</v>
      </c>
      <c r="S99">
        <v>65</v>
      </c>
      <c r="T99">
        <v>536</v>
      </c>
      <c r="U99">
        <v>21</v>
      </c>
      <c r="V99">
        <v>85</v>
      </c>
      <c r="W99">
        <v>60</v>
      </c>
      <c r="X99" t="s">
        <v>30</v>
      </c>
      <c r="Y99" t="s">
        <v>29</v>
      </c>
      <c r="Z99" t="s">
        <v>29</v>
      </c>
    </row>
    <row r="100" spans="1:27" ht="30" customHeight="1">
      <c r="A100">
        <v>1702386201</v>
      </c>
      <c r="B100">
        <f>COUNTIF(A:A,A100)</f>
        <v>1</v>
      </c>
      <c r="C100" s="1">
        <f t="shared" ca="1" si="6"/>
        <v>13928</v>
      </c>
      <c r="D100" s="1">
        <v>42766</v>
      </c>
      <c r="E100" s="4">
        <f ca="1">DATEDIF(Table1[[#This Row],[DOB]],Table1[[#This Row],[eventDate]],"Y")</f>
        <v>78</v>
      </c>
      <c r="F100" s="4" t="str">
        <f t="shared" si="7"/>
        <v>Woman</v>
      </c>
      <c r="G100" s="4">
        <f ca="1">_xlfn.DAYS(TODAY(),Table1[[#This Row],[eventDate]])</f>
        <v>3347</v>
      </c>
      <c r="H100" t="s">
        <v>27</v>
      </c>
      <c r="I100" t="s">
        <v>28</v>
      </c>
      <c r="J100" t="s">
        <v>29</v>
      </c>
      <c r="K100" s="1">
        <v>42780</v>
      </c>
      <c r="L100">
        <f t="shared" si="8"/>
        <v>14</v>
      </c>
      <c r="M100">
        <f>IF(Table1[[#This Row],[Alive]]="No",Table1[[#This Row],[daysDeath]],Table1[[#This Row],[daysSince]])</f>
        <v>14</v>
      </c>
      <c r="N100">
        <v>105</v>
      </c>
      <c r="O100">
        <v>9.4</v>
      </c>
      <c r="P100">
        <v>287</v>
      </c>
      <c r="Q100">
        <v>14</v>
      </c>
      <c r="R100">
        <v>3.2</v>
      </c>
      <c r="S100">
        <v>45</v>
      </c>
      <c r="T100">
        <v>56</v>
      </c>
      <c r="U100">
        <v>22</v>
      </c>
      <c r="V100">
        <v>43</v>
      </c>
      <c r="W100">
        <v>41</v>
      </c>
      <c r="X100" t="s">
        <v>30</v>
      </c>
      <c r="Y100" t="s">
        <v>29</v>
      </c>
      <c r="Z100" t="s">
        <v>31</v>
      </c>
    </row>
    <row r="101" spans="1:27" ht="30" customHeight="1">
      <c r="A101">
        <v>404386296</v>
      </c>
      <c r="B101">
        <f>COUNTIF(A:A,A101)</f>
        <v>1</v>
      </c>
      <c r="C101" s="1">
        <f t="shared" ca="1" si="6"/>
        <v>13974</v>
      </c>
      <c r="D101" s="1">
        <v>42776</v>
      </c>
      <c r="E101" s="4">
        <f ca="1">DATEDIF(Table1[[#This Row],[DOB]],Table1[[#This Row],[eventDate]],"Y")</f>
        <v>78</v>
      </c>
      <c r="F101" s="4" t="str">
        <f t="shared" si="7"/>
        <v>Man</v>
      </c>
      <c r="G101" s="4">
        <f ca="1">_xlfn.DAYS(TODAY(),Table1[[#This Row],[eventDate]])</f>
        <v>3337</v>
      </c>
      <c r="H101" t="s">
        <v>32</v>
      </c>
      <c r="I101" t="s">
        <v>34</v>
      </c>
      <c r="J101" t="s">
        <v>29</v>
      </c>
      <c r="K101" s="1">
        <v>42940</v>
      </c>
      <c r="L101">
        <f t="shared" si="8"/>
        <v>164</v>
      </c>
      <c r="M101">
        <f>IF(Table1[[#This Row],[Alive]]="No",Table1[[#This Row],[daysDeath]],Table1[[#This Row],[daysSince]])</f>
        <v>164</v>
      </c>
      <c r="N101">
        <v>129</v>
      </c>
      <c r="O101">
        <v>5.5</v>
      </c>
      <c r="P101">
        <v>221</v>
      </c>
      <c r="Q101">
        <v>13</v>
      </c>
      <c r="R101">
        <v>5.2</v>
      </c>
      <c r="S101">
        <v>69</v>
      </c>
      <c r="T101">
        <v>235</v>
      </c>
      <c r="U101">
        <v>29</v>
      </c>
      <c r="V101">
        <v>14</v>
      </c>
      <c r="W101">
        <v>60</v>
      </c>
      <c r="X101" t="s">
        <v>30</v>
      </c>
      <c r="Y101" t="s">
        <v>31</v>
      </c>
      <c r="Z101" t="s">
        <v>29</v>
      </c>
    </row>
    <row r="102" spans="1:27" ht="30" customHeight="1">
      <c r="A102">
        <v>706333039</v>
      </c>
      <c r="B102">
        <f>COUNTIF(A:A,A102)</f>
        <v>1</v>
      </c>
      <c r="C102" s="1">
        <f t="shared" ca="1" si="6"/>
        <v>12212</v>
      </c>
      <c r="D102" s="1">
        <v>42783</v>
      </c>
      <c r="E102" s="4">
        <f ca="1">DATEDIF(Table1[[#This Row],[DOB]],Table1[[#This Row],[eventDate]],"Y")</f>
        <v>83</v>
      </c>
      <c r="F102" s="4" t="str">
        <f t="shared" si="7"/>
        <v>Man</v>
      </c>
      <c r="G102" s="4">
        <f ca="1">_xlfn.DAYS(TODAY(),Table1[[#This Row],[eventDate]])</f>
        <v>3330</v>
      </c>
      <c r="H102" t="s">
        <v>32</v>
      </c>
      <c r="I102" t="s">
        <v>34</v>
      </c>
      <c r="J102" t="s">
        <v>29</v>
      </c>
      <c r="K102" s="1">
        <v>44210</v>
      </c>
      <c r="L102">
        <f t="shared" si="8"/>
        <v>1427</v>
      </c>
      <c r="M102">
        <f>IF(Table1[[#This Row],[Alive]]="No",Table1[[#This Row],[daysDeath]],Table1[[#This Row],[daysSince]])</f>
        <v>1427</v>
      </c>
      <c r="N102">
        <v>101</v>
      </c>
      <c r="O102">
        <v>14.5</v>
      </c>
      <c r="P102">
        <v>297</v>
      </c>
      <c r="Q102">
        <v>12</v>
      </c>
      <c r="R102">
        <v>11.4</v>
      </c>
      <c r="S102">
        <v>189</v>
      </c>
      <c r="T102">
        <v>313</v>
      </c>
      <c r="U102">
        <v>12</v>
      </c>
      <c r="V102">
        <v>114</v>
      </c>
      <c r="X102" t="s">
        <v>30</v>
      </c>
      <c r="Y102" t="s">
        <v>31</v>
      </c>
      <c r="Z102" t="s">
        <v>29</v>
      </c>
    </row>
    <row r="103" spans="1:27" ht="30" customHeight="1">
      <c r="A103">
        <v>1310256012</v>
      </c>
      <c r="B103">
        <f>COUNTIF(A:A,A103)</f>
        <v>1</v>
      </c>
      <c r="C103" s="1">
        <v>9418</v>
      </c>
      <c r="D103" s="1">
        <v>42786</v>
      </c>
      <c r="E103" s="4">
        <f>DATEDIF(Table1[[#This Row],[DOB]],Table1[[#This Row],[eventDate]],"Y")</f>
        <v>91</v>
      </c>
      <c r="F103" s="4" t="str">
        <f t="shared" si="7"/>
        <v>Man</v>
      </c>
      <c r="G103" s="4">
        <f ca="1">_xlfn.DAYS(TODAY(),Table1[[#This Row],[eventDate]])</f>
        <v>3327</v>
      </c>
      <c r="H103" t="s">
        <v>32</v>
      </c>
      <c r="I103" t="s">
        <v>34</v>
      </c>
      <c r="J103" t="s">
        <v>29</v>
      </c>
      <c r="K103" s="1">
        <v>42814</v>
      </c>
      <c r="L103">
        <f t="shared" si="8"/>
        <v>28</v>
      </c>
      <c r="M103">
        <f>IF(Table1[[#This Row],[Alive]]="No",Table1[[#This Row],[daysDeath]],Table1[[#This Row],[daysSince]])</f>
        <v>28</v>
      </c>
      <c r="N103">
        <v>108</v>
      </c>
      <c r="O103">
        <v>7.6</v>
      </c>
      <c r="P103">
        <v>291</v>
      </c>
      <c r="Q103">
        <v>13</v>
      </c>
      <c r="R103">
        <v>7.8</v>
      </c>
      <c r="S103">
        <v>101</v>
      </c>
      <c r="T103">
        <v>438</v>
      </c>
      <c r="U103">
        <v>17</v>
      </c>
      <c r="V103">
        <v>30</v>
      </c>
      <c r="W103">
        <v>63</v>
      </c>
      <c r="X103" t="s">
        <v>30</v>
      </c>
      <c r="Y103" t="s">
        <v>31</v>
      </c>
      <c r="Z103" t="s">
        <v>29</v>
      </c>
    </row>
    <row r="104" spans="1:27" ht="30" customHeight="1">
      <c r="A104">
        <v>2701516005</v>
      </c>
      <c r="B104">
        <f>COUNTIF(A:A,A104)</f>
        <v>1</v>
      </c>
      <c r="C104" s="1">
        <f t="shared" ca="1" si="6"/>
        <v>18655</v>
      </c>
      <c r="D104" s="1">
        <v>42788</v>
      </c>
      <c r="E104" s="4">
        <f ca="1">DATEDIF(Table1[[#This Row],[DOB]],Table1[[#This Row],[eventDate]],"Y")</f>
        <v>66</v>
      </c>
      <c r="F104" s="4" t="str">
        <f t="shared" si="7"/>
        <v>Woman</v>
      </c>
      <c r="G104" s="4">
        <f ca="1">_xlfn.DAYS(TODAY(),Table1[[#This Row],[eventDate]])</f>
        <v>3325</v>
      </c>
      <c r="H104" t="s">
        <v>32</v>
      </c>
      <c r="I104" t="s">
        <v>34</v>
      </c>
      <c r="J104" t="s">
        <v>29</v>
      </c>
      <c r="K104" s="1">
        <v>43013</v>
      </c>
      <c r="L104">
        <f t="shared" si="8"/>
        <v>225</v>
      </c>
      <c r="M104">
        <f>IF(Table1[[#This Row],[Alive]]="No",Table1[[#This Row],[daysDeath]],Table1[[#This Row],[daysSince]])</f>
        <v>225</v>
      </c>
      <c r="N104">
        <v>119</v>
      </c>
      <c r="O104">
        <v>6</v>
      </c>
      <c r="P104">
        <v>334</v>
      </c>
      <c r="Q104">
        <v>11</v>
      </c>
      <c r="R104">
        <v>4.9000000000000004</v>
      </c>
      <c r="S104">
        <v>60</v>
      </c>
      <c r="T104">
        <v>258</v>
      </c>
      <c r="U104">
        <v>26</v>
      </c>
      <c r="V104">
        <v>8</v>
      </c>
      <c r="W104">
        <v>76</v>
      </c>
      <c r="X104" t="s">
        <v>30</v>
      </c>
      <c r="Y104" t="s">
        <v>29</v>
      </c>
      <c r="Z104" t="s">
        <v>29</v>
      </c>
    </row>
    <row r="105" spans="1:27" ht="30" customHeight="1">
      <c r="A105">
        <v>207606315</v>
      </c>
      <c r="B105">
        <f>COUNTIF(A:A,A105)</f>
        <v>1</v>
      </c>
      <c r="C105" s="1">
        <f t="shared" ca="1" si="6"/>
        <v>22099</v>
      </c>
      <c r="D105" s="1">
        <v>42804</v>
      </c>
      <c r="E105" s="4">
        <f ca="1">DATEDIF(Table1[[#This Row],[DOB]],Table1[[#This Row],[eventDate]],"Y")</f>
        <v>56</v>
      </c>
      <c r="F105" s="4" t="str">
        <f t="shared" si="7"/>
        <v>Man</v>
      </c>
      <c r="G105" s="4">
        <f ca="1">_xlfn.DAYS(TODAY(),Table1[[#This Row],[eventDate]])</f>
        <v>3309</v>
      </c>
      <c r="H105" t="s">
        <v>32</v>
      </c>
      <c r="I105" t="s">
        <v>34</v>
      </c>
      <c r="J105" t="s">
        <v>31</v>
      </c>
      <c r="L105" t="str">
        <f t="shared" si="8"/>
        <v/>
      </c>
      <c r="M105">
        <f ca="1">IF(Table1[[#This Row],[Alive]]="No",Table1[[#This Row],[daysDeath]],Table1[[#This Row],[daysSince]])</f>
        <v>3309</v>
      </c>
      <c r="N105">
        <v>93</v>
      </c>
      <c r="O105">
        <v>16.5</v>
      </c>
      <c r="P105">
        <v>198</v>
      </c>
      <c r="Q105">
        <v>13</v>
      </c>
      <c r="R105">
        <v>9.6</v>
      </c>
      <c r="S105">
        <v>68</v>
      </c>
      <c r="T105">
        <v>101</v>
      </c>
      <c r="U105">
        <v>29</v>
      </c>
      <c r="V105">
        <v>179</v>
      </c>
      <c r="X105" t="s">
        <v>33</v>
      </c>
      <c r="Y105" t="s">
        <v>29</v>
      </c>
      <c r="Z105" t="s">
        <v>29</v>
      </c>
      <c r="AA105" t="s">
        <v>39</v>
      </c>
    </row>
    <row r="106" spans="1:27" ht="30" customHeight="1">
      <c r="A106">
        <v>2010463129</v>
      </c>
      <c r="B106">
        <f>COUNTIF(A:A,A106)</f>
        <v>1</v>
      </c>
      <c r="C106" s="1">
        <f t="shared" ca="1" si="6"/>
        <v>17095</v>
      </c>
      <c r="D106" s="1">
        <v>42804</v>
      </c>
      <c r="E106" s="4">
        <f ca="1">DATEDIF(Table1[[#This Row],[DOB]],Table1[[#This Row],[eventDate]],"Y")</f>
        <v>70</v>
      </c>
      <c r="F106" s="4" t="str">
        <f t="shared" si="7"/>
        <v>Woman</v>
      </c>
      <c r="G106" s="4">
        <f ca="1">_xlfn.DAYS(TODAY(),Table1[[#This Row],[eventDate]])</f>
        <v>3309</v>
      </c>
      <c r="H106" t="s">
        <v>32</v>
      </c>
      <c r="I106" t="s">
        <v>28</v>
      </c>
      <c r="J106" t="s">
        <v>29</v>
      </c>
      <c r="K106" s="1">
        <v>42999</v>
      </c>
      <c r="L106">
        <f t="shared" si="8"/>
        <v>195</v>
      </c>
      <c r="M106">
        <f>IF(Table1[[#This Row],[Alive]]="No",Table1[[#This Row],[daysDeath]],Table1[[#This Row],[daysSince]])</f>
        <v>195</v>
      </c>
      <c r="N106">
        <v>102</v>
      </c>
      <c r="O106">
        <v>8.6999999999999993</v>
      </c>
      <c r="P106">
        <v>290</v>
      </c>
      <c r="Q106">
        <v>12</v>
      </c>
      <c r="R106">
        <v>6.1</v>
      </c>
      <c r="S106">
        <v>92</v>
      </c>
      <c r="T106">
        <v>325</v>
      </c>
      <c r="U106">
        <v>20</v>
      </c>
      <c r="V106">
        <v>29</v>
      </c>
      <c r="W106">
        <v>86.6</v>
      </c>
      <c r="X106" t="s">
        <v>30</v>
      </c>
      <c r="Y106" t="s">
        <v>31</v>
      </c>
      <c r="Z106" t="s">
        <v>29</v>
      </c>
    </row>
    <row r="107" spans="1:27" ht="30" customHeight="1">
      <c r="A107">
        <v>710546335</v>
      </c>
      <c r="B107">
        <f>COUNTIF(A:A,A107)</f>
        <v>1</v>
      </c>
      <c r="C107" s="1">
        <f t="shared" ca="1" si="6"/>
        <v>20004</v>
      </c>
      <c r="D107" s="1">
        <v>42811</v>
      </c>
      <c r="E107" s="4">
        <f ca="1">DATEDIF(Table1[[#This Row],[DOB]],Table1[[#This Row],[eventDate]],"Y")</f>
        <v>62</v>
      </c>
      <c r="F107" s="4" t="str">
        <f t="shared" si="7"/>
        <v>Man</v>
      </c>
      <c r="G107" s="4">
        <f ca="1">_xlfn.DAYS(TODAY(),Table1[[#This Row],[eventDate]])</f>
        <v>3302</v>
      </c>
      <c r="H107" t="s">
        <v>32</v>
      </c>
      <c r="I107" t="s">
        <v>34</v>
      </c>
      <c r="J107" t="s">
        <v>29</v>
      </c>
      <c r="K107" s="1">
        <v>43880</v>
      </c>
      <c r="L107">
        <f t="shared" si="8"/>
        <v>1069</v>
      </c>
      <c r="M107">
        <f>IF(Table1[[#This Row],[Alive]]="No",Table1[[#This Row],[daysDeath]],Table1[[#This Row],[daysSince]])</f>
        <v>1069</v>
      </c>
      <c r="N107">
        <v>97</v>
      </c>
      <c r="O107">
        <v>8.1999999999999993</v>
      </c>
      <c r="P107">
        <v>542</v>
      </c>
      <c r="Q107">
        <v>10</v>
      </c>
      <c r="R107">
        <v>5.4</v>
      </c>
      <c r="S107">
        <v>112</v>
      </c>
      <c r="T107">
        <v>20</v>
      </c>
      <c r="U107">
        <v>21</v>
      </c>
      <c r="V107">
        <v>89</v>
      </c>
      <c r="X107" t="s">
        <v>30</v>
      </c>
      <c r="Y107" t="s">
        <v>31</v>
      </c>
      <c r="Z107" t="s">
        <v>29</v>
      </c>
    </row>
    <row r="108" spans="1:27" ht="30" customHeight="1">
      <c r="A108">
        <v>509446043</v>
      </c>
      <c r="B108">
        <f>COUNTIF(A:A,A108)</f>
        <v>1</v>
      </c>
      <c r="C108" s="1">
        <f t="shared" ca="1" si="6"/>
        <v>16320</v>
      </c>
      <c r="D108" s="1">
        <v>42811</v>
      </c>
      <c r="E108" s="4">
        <f ca="1">DATEDIF(Table1[[#This Row],[DOB]],Table1[[#This Row],[eventDate]],"Y")</f>
        <v>72</v>
      </c>
      <c r="F108" s="4" t="str">
        <f t="shared" si="7"/>
        <v>Woman</v>
      </c>
      <c r="G108" s="4">
        <f ca="1">_xlfn.DAYS(TODAY(),Table1[[#This Row],[eventDate]])</f>
        <v>3302</v>
      </c>
      <c r="H108" t="s">
        <v>32</v>
      </c>
      <c r="I108" t="s">
        <v>28</v>
      </c>
      <c r="J108" t="s">
        <v>29</v>
      </c>
      <c r="K108" s="1">
        <v>42850</v>
      </c>
      <c r="L108">
        <f t="shared" si="8"/>
        <v>39</v>
      </c>
      <c r="M108">
        <f>IF(Table1[[#This Row],[Alive]]="No",Table1[[#This Row],[daysDeath]],Table1[[#This Row],[daysSince]])</f>
        <v>39</v>
      </c>
      <c r="N108">
        <v>89</v>
      </c>
      <c r="O108">
        <v>10.1</v>
      </c>
      <c r="P108">
        <v>263</v>
      </c>
      <c r="Q108">
        <v>14</v>
      </c>
      <c r="R108">
        <v>3.4</v>
      </c>
      <c r="S108">
        <v>55</v>
      </c>
      <c r="T108">
        <v>245</v>
      </c>
      <c r="U108">
        <v>20</v>
      </c>
      <c r="V108">
        <v>75</v>
      </c>
      <c r="W108">
        <v>55</v>
      </c>
      <c r="X108" t="s">
        <v>30</v>
      </c>
      <c r="Y108" t="s">
        <v>29</v>
      </c>
      <c r="Z108" t="s">
        <v>29</v>
      </c>
    </row>
    <row r="109" spans="1:27" ht="30" customHeight="1">
      <c r="A109">
        <v>2602516244</v>
      </c>
      <c r="B109">
        <f>COUNTIF(A:A,A109)</f>
        <v>1</v>
      </c>
      <c r="C109" s="1">
        <f t="shared" ca="1" si="6"/>
        <v>18685</v>
      </c>
      <c r="D109" s="1">
        <v>42815</v>
      </c>
      <c r="E109" s="4">
        <f ca="1">DATEDIF(Table1[[#This Row],[DOB]],Table1[[#This Row],[eventDate]],"Y")</f>
        <v>66</v>
      </c>
      <c r="F109" s="4" t="str">
        <f t="shared" si="7"/>
        <v>Woman</v>
      </c>
      <c r="G109" s="4">
        <f ca="1">_xlfn.DAYS(TODAY(),Table1[[#This Row],[eventDate]])</f>
        <v>3298</v>
      </c>
      <c r="H109" t="s">
        <v>27</v>
      </c>
      <c r="I109" t="s">
        <v>34</v>
      </c>
      <c r="J109" t="s">
        <v>29</v>
      </c>
      <c r="K109" s="1">
        <v>42888</v>
      </c>
      <c r="L109">
        <f t="shared" si="8"/>
        <v>73</v>
      </c>
      <c r="M109">
        <f>IF(Table1[[#This Row],[Alive]]="No",Table1[[#This Row],[daysDeath]],Table1[[#This Row],[daysSince]])</f>
        <v>73</v>
      </c>
      <c r="N109">
        <v>123</v>
      </c>
      <c r="O109">
        <v>7.1</v>
      </c>
      <c r="P109">
        <v>279</v>
      </c>
      <c r="Q109">
        <v>14</v>
      </c>
      <c r="R109">
        <v>6.2</v>
      </c>
      <c r="S109">
        <v>55</v>
      </c>
      <c r="T109">
        <v>273</v>
      </c>
      <c r="U109">
        <v>27</v>
      </c>
      <c r="V109">
        <v>8</v>
      </c>
      <c r="X109" t="s">
        <v>30</v>
      </c>
      <c r="Y109" t="s">
        <v>29</v>
      </c>
      <c r="Z109" t="s">
        <v>29</v>
      </c>
    </row>
    <row r="110" spans="1:27" ht="30" customHeight="1">
      <c r="A110">
        <v>2904773169</v>
      </c>
      <c r="B110">
        <f>COUNTIF(A:A,A110)</f>
        <v>1</v>
      </c>
      <c r="C110" s="1">
        <f t="shared" ca="1" si="6"/>
        <v>28244</v>
      </c>
      <c r="D110" s="1">
        <v>42830</v>
      </c>
      <c r="E110" s="4">
        <f ca="1">DATEDIF(Table1[[#This Row],[DOB]],Table1[[#This Row],[eventDate]],"Y")</f>
        <v>39</v>
      </c>
      <c r="F110" s="4" t="str">
        <f t="shared" si="7"/>
        <v>Woman</v>
      </c>
      <c r="G110" s="4">
        <f ca="1">_xlfn.DAYS(TODAY(),Table1[[#This Row],[eventDate]])</f>
        <v>3283</v>
      </c>
      <c r="H110" t="s">
        <v>32</v>
      </c>
      <c r="I110" t="s">
        <v>34</v>
      </c>
      <c r="J110" t="s">
        <v>29</v>
      </c>
      <c r="K110" s="1">
        <v>42892</v>
      </c>
      <c r="L110">
        <f t="shared" si="8"/>
        <v>62</v>
      </c>
      <c r="M110">
        <f>IF(Table1[[#This Row],[Alive]]="No",Table1[[#This Row],[daysDeath]],Table1[[#This Row],[daysSince]])</f>
        <v>62</v>
      </c>
      <c r="N110">
        <v>120</v>
      </c>
      <c r="O110">
        <v>6.5</v>
      </c>
      <c r="P110">
        <v>199</v>
      </c>
      <c r="Q110">
        <v>13</v>
      </c>
      <c r="R110">
        <v>3.1</v>
      </c>
      <c r="S110">
        <v>53</v>
      </c>
      <c r="T110">
        <v>313</v>
      </c>
      <c r="U110">
        <v>25</v>
      </c>
      <c r="V110">
        <v>11</v>
      </c>
      <c r="W110">
        <v>77</v>
      </c>
      <c r="X110" t="s">
        <v>30</v>
      </c>
      <c r="Y110" t="s">
        <v>29</v>
      </c>
      <c r="Z110" t="s">
        <v>31</v>
      </c>
    </row>
    <row r="111" spans="1:27" ht="30" customHeight="1">
      <c r="A111">
        <v>2106683413</v>
      </c>
      <c r="B111">
        <f>COUNTIF(A:A,A111)</f>
        <v>1</v>
      </c>
      <c r="C111" s="1">
        <f t="shared" ca="1" si="6"/>
        <v>25010</v>
      </c>
      <c r="D111" s="1">
        <v>42831</v>
      </c>
      <c r="E111" s="4">
        <f ca="1">DATEDIF(Table1[[#This Row],[DOB]],Table1[[#This Row],[eventDate]],"Y")</f>
        <v>48</v>
      </c>
      <c r="F111" s="4" t="str">
        <f t="shared" si="7"/>
        <v>Man</v>
      </c>
      <c r="G111" s="4">
        <f ca="1">_xlfn.DAYS(TODAY(),Table1[[#This Row],[eventDate]])</f>
        <v>3282</v>
      </c>
      <c r="H111" t="s">
        <v>27</v>
      </c>
      <c r="I111" t="s">
        <v>28</v>
      </c>
      <c r="J111" t="s">
        <v>31</v>
      </c>
      <c r="L111" t="str">
        <f t="shared" si="8"/>
        <v/>
      </c>
      <c r="M111">
        <f ca="1">IF(Table1[[#This Row],[Alive]]="No",Table1[[#This Row],[daysDeath]],Table1[[#This Row],[daysSince]])</f>
        <v>3282</v>
      </c>
      <c r="N111">
        <v>89</v>
      </c>
      <c r="O111">
        <v>12.2</v>
      </c>
      <c r="P111">
        <v>283</v>
      </c>
      <c r="Q111">
        <v>13</v>
      </c>
      <c r="R111">
        <v>3.5</v>
      </c>
      <c r="S111">
        <v>70</v>
      </c>
      <c r="T111">
        <v>238</v>
      </c>
      <c r="U111">
        <v>16</v>
      </c>
      <c r="V111">
        <v>84</v>
      </c>
      <c r="W111">
        <v>63.6</v>
      </c>
      <c r="X111" t="s">
        <v>30</v>
      </c>
      <c r="Y111" t="s">
        <v>31</v>
      </c>
      <c r="Z111" t="s">
        <v>29</v>
      </c>
    </row>
    <row r="112" spans="1:27" ht="30" customHeight="1">
      <c r="A112">
        <v>1702485137</v>
      </c>
      <c r="B112">
        <f>COUNTIF(A:A,A112)</f>
        <v>1</v>
      </c>
      <c r="C112" s="1">
        <f t="shared" ca="1" si="6"/>
        <v>17580</v>
      </c>
      <c r="D112" s="1">
        <v>42831</v>
      </c>
      <c r="E112" s="4">
        <f ca="1">DATEDIF(Table1[[#This Row],[DOB]],Table1[[#This Row],[eventDate]],"Y")</f>
        <v>69</v>
      </c>
      <c r="F112" s="4" t="str">
        <f t="shared" si="7"/>
        <v>Man</v>
      </c>
      <c r="G112" s="4">
        <f ca="1">_xlfn.DAYS(TODAY(),Table1[[#This Row],[eventDate]])</f>
        <v>3282</v>
      </c>
      <c r="H112" t="s">
        <v>27</v>
      </c>
      <c r="I112" t="s">
        <v>28</v>
      </c>
      <c r="J112" t="s">
        <v>29</v>
      </c>
      <c r="K112" s="1">
        <v>42856</v>
      </c>
      <c r="L112">
        <f t="shared" si="8"/>
        <v>25</v>
      </c>
      <c r="M112">
        <f>IF(Table1[[#This Row],[Alive]]="No",Table1[[#This Row],[daysDeath]],Table1[[#This Row],[daysSince]])</f>
        <v>25</v>
      </c>
      <c r="N112">
        <v>113</v>
      </c>
      <c r="O112">
        <v>10.5</v>
      </c>
      <c r="P112">
        <v>626</v>
      </c>
      <c r="Q112">
        <v>13</v>
      </c>
      <c r="R112">
        <v>2.8</v>
      </c>
      <c r="S112">
        <v>55</v>
      </c>
      <c r="T112">
        <v>85</v>
      </c>
      <c r="U112">
        <v>23</v>
      </c>
      <c r="V112">
        <v>47</v>
      </c>
      <c r="W112">
        <v>60</v>
      </c>
      <c r="X112" t="s">
        <v>30</v>
      </c>
      <c r="Y112" t="s">
        <v>31</v>
      </c>
      <c r="Z112" t="s">
        <v>29</v>
      </c>
    </row>
    <row r="113" spans="1:26" ht="30" customHeight="1">
      <c r="A113">
        <v>1201506069</v>
      </c>
      <c r="B113">
        <f>COUNTIF(A:A,A113)</f>
        <v>1</v>
      </c>
      <c r="C113" s="1">
        <f t="shared" ca="1" si="6"/>
        <v>18275</v>
      </c>
      <c r="D113" s="1">
        <v>42831</v>
      </c>
      <c r="E113" s="4">
        <f ca="1">DATEDIF(Table1[[#This Row],[DOB]],Table1[[#This Row],[eventDate]],"Y")</f>
        <v>67</v>
      </c>
      <c r="F113" s="4" t="str">
        <f t="shared" si="7"/>
        <v>Woman</v>
      </c>
      <c r="G113" s="4">
        <f ca="1">_xlfn.DAYS(TODAY(),Table1[[#This Row],[eventDate]])</f>
        <v>3282</v>
      </c>
      <c r="H113" t="s">
        <v>32</v>
      </c>
      <c r="I113" t="s">
        <v>28</v>
      </c>
      <c r="J113" t="s">
        <v>29</v>
      </c>
      <c r="K113" s="1">
        <v>43574</v>
      </c>
      <c r="L113">
        <f t="shared" si="8"/>
        <v>743</v>
      </c>
      <c r="M113">
        <f>IF(Table1[[#This Row],[Alive]]="No",Table1[[#This Row],[daysDeath]],Table1[[#This Row],[daysSince]])</f>
        <v>743</v>
      </c>
      <c r="N113">
        <v>116</v>
      </c>
      <c r="O113">
        <v>10.4</v>
      </c>
      <c r="P113">
        <v>286</v>
      </c>
      <c r="Q113">
        <v>12</v>
      </c>
      <c r="R113">
        <v>5.9</v>
      </c>
      <c r="S113">
        <v>64</v>
      </c>
      <c r="T113">
        <v>108</v>
      </c>
      <c r="U113">
        <v>27</v>
      </c>
      <c r="V113">
        <v>16</v>
      </c>
      <c r="W113">
        <v>61</v>
      </c>
      <c r="X113" t="s">
        <v>30</v>
      </c>
      <c r="Y113" t="s">
        <v>29</v>
      </c>
      <c r="Z113" t="s">
        <v>29</v>
      </c>
    </row>
    <row r="114" spans="1:26" ht="30" customHeight="1">
      <c r="A114">
        <v>2110476249</v>
      </c>
      <c r="B114">
        <f>COUNTIF(A:A,A114)</f>
        <v>1</v>
      </c>
      <c r="C114" s="1">
        <f t="shared" ca="1" si="6"/>
        <v>17461</v>
      </c>
      <c r="D114" s="1">
        <v>42836</v>
      </c>
      <c r="E114" s="4">
        <f ca="1">DATEDIF(Table1[[#This Row],[DOB]],Table1[[#This Row],[eventDate]],"Y")</f>
        <v>69</v>
      </c>
      <c r="F114" s="4" t="str">
        <f t="shared" si="7"/>
        <v>Woman</v>
      </c>
      <c r="G114" s="4">
        <f ca="1">_xlfn.DAYS(TODAY(),Table1[[#This Row],[eventDate]])</f>
        <v>3277</v>
      </c>
      <c r="H114" t="s">
        <v>32</v>
      </c>
      <c r="I114" t="s">
        <v>28</v>
      </c>
      <c r="J114" t="s">
        <v>29</v>
      </c>
      <c r="K114" s="1">
        <v>42859</v>
      </c>
      <c r="L114">
        <f t="shared" si="8"/>
        <v>23</v>
      </c>
      <c r="M114">
        <f>IF(Table1[[#This Row],[Alive]]="No",Table1[[#This Row],[daysDeath]],Table1[[#This Row],[daysSince]])</f>
        <v>23</v>
      </c>
      <c r="N114">
        <v>119</v>
      </c>
      <c r="O114">
        <v>22.1</v>
      </c>
      <c r="P114">
        <v>304</v>
      </c>
      <c r="Q114">
        <v>12</v>
      </c>
      <c r="R114">
        <v>20.7</v>
      </c>
      <c r="S114">
        <v>251</v>
      </c>
      <c r="T114">
        <v>257</v>
      </c>
      <c r="U114">
        <v>20</v>
      </c>
      <c r="V114">
        <v>47</v>
      </c>
      <c r="W114">
        <v>113</v>
      </c>
      <c r="X114" t="s">
        <v>30</v>
      </c>
      <c r="Y114" t="s">
        <v>29</v>
      </c>
      <c r="Z114" t="s">
        <v>31</v>
      </c>
    </row>
    <row r="115" spans="1:26" ht="30" customHeight="1">
      <c r="A115">
        <v>907536425</v>
      </c>
      <c r="B115">
        <f>COUNTIF(A:A,A115)</f>
        <v>1</v>
      </c>
      <c r="C115" s="1">
        <f t="shared" ca="1" si="6"/>
        <v>19549</v>
      </c>
      <c r="D115" s="1">
        <v>42838</v>
      </c>
      <c r="E115" s="4">
        <f ca="1">DATEDIF(Table1[[#This Row],[DOB]],Table1[[#This Row],[eventDate]],"Y")</f>
        <v>63</v>
      </c>
      <c r="F115" s="4" t="str">
        <f t="shared" si="7"/>
        <v>Woman</v>
      </c>
      <c r="G115" s="4">
        <f ca="1">_xlfn.DAYS(TODAY(),Table1[[#This Row],[eventDate]])</f>
        <v>3275</v>
      </c>
      <c r="H115" t="s">
        <v>35</v>
      </c>
      <c r="I115" t="s">
        <v>34</v>
      </c>
      <c r="J115" t="s">
        <v>29</v>
      </c>
      <c r="K115" s="1">
        <v>42845</v>
      </c>
      <c r="L115">
        <f t="shared" si="8"/>
        <v>7</v>
      </c>
      <c r="M115">
        <f>IF(Table1[[#This Row],[Alive]]="No",Table1[[#This Row],[daysDeath]],Table1[[#This Row],[daysSince]])</f>
        <v>7</v>
      </c>
      <c r="N115">
        <v>115</v>
      </c>
      <c r="O115">
        <v>12</v>
      </c>
      <c r="P115">
        <v>218</v>
      </c>
      <c r="Q115">
        <v>15</v>
      </c>
      <c r="R115">
        <v>4.7</v>
      </c>
      <c r="S115">
        <v>58</v>
      </c>
      <c r="T115">
        <v>198</v>
      </c>
      <c r="U115">
        <v>15</v>
      </c>
      <c r="V115">
        <v>89</v>
      </c>
      <c r="W115">
        <v>82</v>
      </c>
      <c r="X115" t="s">
        <v>30</v>
      </c>
      <c r="Y115" t="s">
        <v>29</v>
      </c>
      <c r="Z115" t="s">
        <v>31</v>
      </c>
    </row>
    <row r="116" spans="1:26" ht="30" customHeight="1">
      <c r="A116">
        <v>2208626257</v>
      </c>
      <c r="B116">
        <f>COUNTIF(A:A,A116)</f>
        <v>1</v>
      </c>
      <c r="C116" s="1">
        <f t="shared" ca="1" si="6"/>
        <v>22880</v>
      </c>
      <c r="D116" s="1">
        <v>42850</v>
      </c>
      <c r="E116" s="4">
        <f ca="1">DATEDIF(Table1[[#This Row],[DOB]],Table1[[#This Row],[eventDate]],"Y")</f>
        <v>54</v>
      </c>
      <c r="F116" s="4" t="str">
        <f t="shared" si="7"/>
        <v>Man</v>
      </c>
      <c r="G116" s="4">
        <f ca="1">_xlfn.DAYS(TODAY(),Table1[[#This Row],[eventDate]])</f>
        <v>3263</v>
      </c>
      <c r="H116" t="s">
        <v>27</v>
      </c>
      <c r="I116" t="s">
        <v>28</v>
      </c>
      <c r="J116" t="s">
        <v>29</v>
      </c>
      <c r="K116" s="1">
        <v>42854</v>
      </c>
      <c r="L116">
        <f t="shared" si="8"/>
        <v>4</v>
      </c>
      <c r="M116">
        <f>IF(Table1[[#This Row],[Alive]]="No",Table1[[#This Row],[daysDeath]],Table1[[#This Row],[daysSince]])</f>
        <v>4</v>
      </c>
      <c r="N116">
        <v>117</v>
      </c>
      <c r="O116">
        <v>12.5</v>
      </c>
      <c r="P116">
        <v>236</v>
      </c>
      <c r="Q116">
        <v>11</v>
      </c>
      <c r="R116">
        <v>6.1</v>
      </c>
      <c r="S116">
        <v>64</v>
      </c>
      <c r="T116">
        <v>221</v>
      </c>
      <c r="U116">
        <v>11</v>
      </c>
      <c r="V116">
        <v>222</v>
      </c>
      <c r="X116" t="s">
        <v>30</v>
      </c>
      <c r="Y116" t="s">
        <v>29</v>
      </c>
      <c r="Z116" t="s">
        <v>31</v>
      </c>
    </row>
    <row r="117" spans="1:26" ht="30" customHeight="1">
      <c r="A117">
        <v>512403287</v>
      </c>
      <c r="B117">
        <f>COUNTIF(A:A,A117)</f>
        <v>1</v>
      </c>
      <c r="C117" s="1">
        <f t="shared" ca="1" si="6"/>
        <v>14950</v>
      </c>
      <c r="D117" s="1">
        <v>42853</v>
      </c>
      <c r="E117" s="4">
        <f ca="1">DATEDIF(Table1[[#This Row],[DOB]],Table1[[#This Row],[eventDate]],"Y")</f>
        <v>76</v>
      </c>
      <c r="F117" s="4" t="str">
        <f t="shared" si="7"/>
        <v>Woman</v>
      </c>
      <c r="G117" s="4">
        <f ca="1">_xlfn.DAYS(TODAY(),Table1[[#This Row],[eventDate]])</f>
        <v>3260</v>
      </c>
      <c r="H117" t="s">
        <v>32</v>
      </c>
      <c r="I117" t="s">
        <v>34</v>
      </c>
      <c r="J117" t="s">
        <v>29</v>
      </c>
      <c r="K117" s="1">
        <v>43127</v>
      </c>
      <c r="L117">
        <f t="shared" si="8"/>
        <v>274</v>
      </c>
      <c r="M117">
        <f>IF(Table1[[#This Row],[Alive]]="No",Table1[[#This Row],[daysDeath]],Table1[[#This Row],[daysSince]])</f>
        <v>274</v>
      </c>
      <c r="N117">
        <v>122</v>
      </c>
      <c r="O117">
        <v>18.5</v>
      </c>
      <c r="P117">
        <v>348</v>
      </c>
      <c r="Q117">
        <v>13</v>
      </c>
      <c r="R117">
        <v>6.8</v>
      </c>
      <c r="S117">
        <v>61</v>
      </c>
      <c r="T117">
        <v>37</v>
      </c>
      <c r="U117">
        <v>31</v>
      </c>
      <c r="V117">
        <v>8</v>
      </c>
      <c r="W117">
        <v>53</v>
      </c>
      <c r="X117" t="s">
        <v>30</v>
      </c>
      <c r="Y117" t="s">
        <v>31</v>
      </c>
      <c r="Z117" t="s">
        <v>29</v>
      </c>
    </row>
    <row r="118" spans="1:26" ht="30" customHeight="1">
      <c r="A118">
        <v>2307566376</v>
      </c>
      <c r="B118">
        <f>COUNTIF(A:A,A118)</f>
        <v>1</v>
      </c>
      <c r="C118" s="1">
        <f t="shared" ca="1" si="6"/>
        <v>20659</v>
      </c>
      <c r="D118" s="1">
        <v>42858</v>
      </c>
      <c r="E118" s="4">
        <f ca="1">DATEDIF(Table1[[#This Row],[DOB]],Table1[[#This Row],[eventDate]],"Y")</f>
        <v>60</v>
      </c>
      <c r="F118" s="4" t="str">
        <f t="shared" si="7"/>
        <v>Man</v>
      </c>
      <c r="G118" s="4">
        <f ca="1">_xlfn.DAYS(TODAY(),Table1[[#This Row],[eventDate]])</f>
        <v>3255</v>
      </c>
      <c r="H118" t="s">
        <v>32</v>
      </c>
      <c r="I118" t="s">
        <v>34</v>
      </c>
      <c r="J118" t="s">
        <v>29</v>
      </c>
      <c r="K118" s="1">
        <v>43157</v>
      </c>
      <c r="L118">
        <f t="shared" si="8"/>
        <v>299</v>
      </c>
      <c r="M118">
        <f>IF(Table1[[#This Row],[Alive]]="No",Table1[[#This Row],[daysDeath]],Table1[[#This Row],[daysSince]])</f>
        <v>299</v>
      </c>
      <c r="N118">
        <v>145</v>
      </c>
      <c r="O118">
        <v>6.6</v>
      </c>
      <c r="P118">
        <v>266</v>
      </c>
      <c r="Q118">
        <v>12</v>
      </c>
      <c r="R118">
        <v>5.3</v>
      </c>
      <c r="S118">
        <v>40</v>
      </c>
      <c r="T118">
        <v>200</v>
      </c>
      <c r="U118">
        <v>29</v>
      </c>
      <c r="V118">
        <v>1</v>
      </c>
      <c r="W118">
        <v>60</v>
      </c>
      <c r="X118" t="s">
        <v>30</v>
      </c>
      <c r="Y118" t="s">
        <v>29</v>
      </c>
      <c r="Z118" t="s">
        <v>29</v>
      </c>
    </row>
    <row r="119" spans="1:26" ht="30" customHeight="1">
      <c r="A119">
        <v>1407496050</v>
      </c>
      <c r="B119">
        <f>COUNTIF(A:A,A119)</f>
        <v>1</v>
      </c>
      <c r="C119" s="1">
        <f t="shared" ref="C119:C152" ca="1" si="9">DATE(
    IF(VALUE(MID(TEXT(A119,"0000000000"),5,2)) &gt; VALUE(TEXT(TODAY(),"YY")),
       1900 + VALUE(MID(TEXT(A119,"0000000000"),5,2)),
       2000 + VALUE(MID(TEXT(A119,"0000000000"),5,2))
    ),
    VALUE(MID(TEXT(A119,"0000000000"),3,2)),
    VALUE(LEFT(TEXT(A119,"0000000000"),2))
)</f>
        <v>18093</v>
      </c>
      <c r="D119" s="1">
        <v>42873</v>
      </c>
      <c r="E119" s="4">
        <f ca="1">DATEDIF(Table1[[#This Row],[DOB]],Table1[[#This Row],[eventDate]],"Y")</f>
        <v>67</v>
      </c>
      <c r="F119" s="4" t="str">
        <f t="shared" ref="F119:F152" si="10">IF(MOD(VALUE(MID(TEXT(A119,"0000000000"),9,1)),2)=0,"Woman","Man")</f>
        <v>Man</v>
      </c>
      <c r="G119" s="4">
        <f ca="1">_xlfn.DAYS(TODAY(),Table1[[#This Row],[eventDate]])</f>
        <v>3240</v>
      </c>
      <c r="H119" t="s">
        <v>27</v>
      </c>
      <c r="I119" t="s">
        <v>28</v>
      </c>
      <c r="J119" t="s">
        <v>29</v>
      </c>
      <c r="K119" s="1">
        <v>42916</v>
      </c>
      <c r="L119">
        <f t="shared" ref="L119:L152" si="11">IF(J119="No",_xlfn.DAYS(K119,D119),"")</f>
        <v>43</v>
      </c>
      <c r="M119">
        <f>IF(Table1[[#This Row],[Alive]]="No",Table1[[#This Row],[daysDeath]],Table1[[#This Row],[daysSince]])</f>
        <v>43</v>
      </c>
      <c r="N119">
        <v>100</v>
      </c>
      <c r="O119">
        <v>12.3</v>
      </c>
      <c r="P119">
        <v>479</v>
      </c>
      <c r="Q119">
        <v>14</v>
      </c>
      <c r="R119">
        <v>3.2</v>
      </c>
      <c r="S119">
        <v>65</v>
      </c>
      <c r="T119">
        <v>272</v>
      </c>
      <c r="U119">
        <v>19</v>
      </c>
      <c r="V119">
        <v>104</v>
      </c>
      <c r="W119">
        <v>83</v>
      </c>
      <c r="X119" t="s">
        <v>30</v>
      </c>
      <c r="Y119" t="s">
        <v>29</v>
      </c>
      <c r="Z119" t="s">
        <v>29</v>
      </c>
    </row>
    <row r="120" spans="1:26" ht="30" customHeight="1">
      <c r="A120">
        <v>1607493489</v>
      </c>
      <c r="B120">
        <f>COUNTIF(A:A,A120)</f>
        <v>1</v>
      </c>
      <c r="C120" s="1">
        <f t="shared" ca="1" si="9"/>
        <v>18095</v>
      </c>
      <c r="D120" s="1">
        <v>42873</v>
      </c>
      <c r="E120" s="4">
        <f ca="1">DATEDIF(Table1[[#This Row],[DOB]],Table1[[#This Row],[eventDate]],"Y")</f>
        <v>67</v>
      </c>
      <c r="F120" s="4" t="str">
        <f t="shared" si="10"/>
        <v>Woman</v>
      </c>
      <c r="G120" s="4">
        <f ca="1">_xlfn.DAYS(TODAY(),Table1[[#This Row],[eventDate]])</f>
        <v>3240</v>
      </c>
      <c r="H120" t="s">
        <v>27</v>
      </c>
      <c r="I120" t="s">
        <v>28</v>
      </c>
      <c r="J120" t="s">
        <v>29</v>
      </c>
      <c r="K120" s="1">
        <v>43327</v>
      </c>
      <c r="L120">
        <f t="shared" si="11"/>
        <v>454</v>
      </c>
      <c r="M120">
        <f>IF(Table1[[#This Row],[Alive]]="No",Table1[[#This Row],[daysDeath]],Table1[[#This Row],[daysSince]])</f>
        <v>454</v>
      </c>
      <c r="N120">
        <v>111</v>
      </c>
      <c r="O120">
        <v>18.3</v>
      </c>
      <c r="P120">
        <v>284</v>
      </c>
      <c r="Q120">
        <v>12</v>
      </c>
      <c r="R120">
        <v>5.0999999999999996</v>
      </c>
      <c r="S120">
        <v>57</v>
      </c>
      <c r="T120">
        <v>145</v>
      </c>
      <c r="U120">
        <v>25</v>
      </c>
      <c r="V120">
        <v>122</v>
      </c>
      <c r="W120">
        <v>47</v>
      </c>
      <c r="X120" t="s">
        <v>30</v>
      </c>
      <c r="Y120" t="s">
        <v>31</v>
      </c>
      <c r="Z120" t="s">
        <v>29</v>
      </c>
    </row>
    <row r="121" spans="1:26" ht="30" customHeight="1">
      <c r="A121">
        <v>908633254</v>
      </c>
      <c r="B121">
        <f>COUNTIF(A:A,A121)</f>
        <v>1</v>
      </c>
      <c r="C121" s="1">
        <f t="shared" ca="1" si="9"/>
        <v>23232</v>
      </c>
      <c r="D121" s="1">
        <v>42880</v>
      </c>
      <c r="E121" s="4">
        <f ca="1">DATEDIF(Table1[[#This Row],[DOB]],Table1[[#This Row],[eventDate]],"Y")</f>
        <v>53</v>
      </c>
      <c r="F121" s="4" t="str">
        <f t="shared" si="10"/>
        <v>Man</v>
      </c>
      <c r="G121" s="4">
        <f ca="1">_xlfn.DAYS(TODAY(),Table1[[#This Row],[eventDate]])</f>
        <v>3233</v>
      </c>
      <c r="H121" t="s">
        <v>27</v>
      </c>
      <c r="I121" t="s">
        <v>28</v>
      </c>
      <c r="J121" t="s">
        <v>29</v>
      </c>
      <c r="K121" s="1">
        <v>43092</v>
      </c>
      <c r="L121">
        <f t="shared" si="11"/>
        <v>212</v>
      </c>
      <c r="M121">
        <f>IF(Table1[[#This Row],[Alive]]="No",Table1[[#This Row],[daysDeath]],Table1[[#This Row],[daysSince]])</f>
        <v>212</v>
      </c>
      <c r="N121">
        <v>116</v>
      </c>
      <c r="O121">
        <v>5.6</v>
      </c>
      <c r="P121">
        <v>274</v>
      </c>
      <c r="Q121">
        <v>13</v>
      </c>
      <c r="R121">
        <v>4.0999999999999996</v>
      </c>
      <c r="S121">
        <v>60</v>
      </c>
      <c r="T121">
        <v>16</v>
      </c>
      <c r="U121">
        <v>29</v>
      </c>
      <c r="V121">
        <v>6</v>
      </c>
      <c r="W121">
        <v>111.2</v>
      </c>
      <c r="X121" t="s">
        <v>30</v>
      </c>
      <c r="Y121" t="s">
        <v>31</v>
      </c>
      <c r="Z121" t="s">
        <v>29</v>
      </c>
    </row>
    <row r="122" spans="1:26" ht="30" customHeight="1">
      <c r="A122">
        <v>802566294</v>
      </c>
      <c r="B122">
        <f>COUNTIF(A:A,A122)</f>
        <v>1</v>
      </c>
      <c r="C122" s="1">
        <f t="shared" ca="1" si="9"/>
        <v>20493</v>
      </c>
      <c r="D122" s="1">
        <v>42885</v>
      </c>
      <c r="E122" s="4">
        <f ca="1">DATEDIF(Table1[[#This Row],[DOB]],Table1[[#This Row],[eventDate]],"Y")</f>
        <v>61</v>
      </c>
      <c r="F122" s="4" t="str">
        <f t="shared" si="10"/>
        <v>Man</v>
      </c>
      <c r="G122" s="4">
        <f ca="1">_xlfn.DAYS(TODAY(),Table1[[#This Row],[eventDate]])</f>
        <v>3228</v>
      </c>
      <c r="H122" t="s">
        <v>27</v>
      </c>
      <c r="I122" t="s">
        <v>28</v>
      </c>
      <c r="J122" t="s">
        <v>29</v>
      </c>
      <c r="K122" s="1">
        <v>43108</v>
      </c>
      <c r="L122">
        <f t="shared" si="11"/>
        <v>223</v>
      </c>
      <c r="M122">
        <f>IF(Table1[[#This Row],[Alive]]="No",Table1[[#This Row],[daysDeath]],Table1[[#This Row],[daysSince]])</f>
        <v>223</v>
      </c>
      <c r="N122">
        <v>110</v>
      </c>
      <c r="O122">
        <v>14.1</v>
      </c>
      <c r="P122">
        <v>376</v>
      </c>
      <c r="Q122">
        <v>13</v>
      </c>
      <c r="R122">
        <v>4.0999999999999996</v>
      </c>
      <c r="S122">
        <v>81</v>
      </c>
      <c r="T122">
        <v>502</v>
      </c>
      <c r="U122">
        <v>20</v>
      </c>
      <c r="V122">
        <v>276</v>
      </c>
      <c r="W122">
        <v>92</v>
      </c>
      <c r="X122" t="s">
        <v>30</v>
      </c>
      <c r="Y122" t="s">
        <v>31</v>
      </c>
      <c r="Z122" t="s">
        <v>29</v>
      </c>
    </row>
    <row r="123" spans="1:26" ht="30" customHeight="1">
      <c r="A123">
        <v>2706315350</v>
      </c>
      <c r="B123">
        <f>COUNTIF(A:A,A123)</f>
        <v>1</v>
      </c>
      <c r="C123" s="1">
        <f t="shared" ca="1" si="9"/>
        <v>11501</v>
      </c>
      <c r="D123" s="1">
        <v>42888</v>
      </c>
      <c r="E123" s="4">
        <f ca="1">DATEDIF(Table1[[#This Row],[DOB]],Table1[[#This Row],[eventDate]],"Y")</f>
        <v>85</v>
      </c>
      <c r="F123" s="4" t="str">
        <f t="shared" si="10"/>
        <v>Man</v>
      </c>
      <c r="G123" s="4">
        <f ca="1">_xlfn.DAYS(TODAY(),Table1[[#This Row],[eventDate]])</f>
        <v>3225</v>
      </c>
      <c r="H123" t="s">
        <v>32</v>
      </c>
      <c r="I123" t="s">
        <v>34</v>
      </c>
      <c r="J123" t="s">
        <v>29</v>
      </c>
      <c r="K123" s="1">
        <v>43063</v>
      </c>
      <c r="L123">
        <f t="shared" si="11"/>
        <v>175</v>
      </c>
      <c r="M123">
        <f>IF(Table1[[#This Row],[Alive]]="No",Table1[[#This Row],[daysDeath]],Table1[[#This Row],[daysSince]])</f>
        <v>175</v>
      </c>
      <c r="N123">
        <v>101</v>
      </c>
      <c r="O123">
        <v>7.5</v>
      </c>
      <c r="P123">
        <v>215</v>
      </c>
      <c r="Q123">
        <v>11</v>
      </c>
      <c r="R123">
        <v>9</v>
      </c>
      <c r="S123">
        <v>136</v>
      </c>
      <c r="T123">
        <v>75</v>
      </c>
      <c r="U123">
        <v>25</v>
      </c>
      <c r="V123">
        <v>51</v>
      </c>
      <c r="X123" t="s">
        <v>30</v>
      </c>
      <c r="Y123" t="s">
        <v>31</v>
      </c>
      <c r="Z123" t="s">
        <v>29</v>
      </c>
    </row>
    <row r="124" spans="1:26" ht="30" customHeight="1">
      <c r="A124">
        <v>2106346239</v>
      </c>
      <c r="B124">
        <f>COUNTIF(A:A,A124)</f>
        <v>1</v>
      </c>
      <c r="C124" s="1">
        <f t="shared" ca="1" si="9"/>
        <v>12591</v>
      </c>
      <c r="D124" s="1">
        <v>42906</v>
      </c>
      <c r="E124" s="4">
        <f ca="1">DATEDIF(Table1[[#This Row],[DOB]],Table1[[#This Row],[eventDate]],"Y")</f>
        <v>82</v>
      </c>
      <c r="F124" s="4" t="str">
        <f t="shared" si="10"/>
        <v>Man</v>
      </c>
      <c r="G124" s="4">
        <f ca="1">_xlfn.DAYS(TODAY(),Table1[[#This Row],[eventDate]])</f>
        <v>3207</v>
      </c>
      <c r="H124" t="s">
        <v>27</v>
      </c>
      <c r="I124" t="s">
        <v>28</v>
      </c>
      <c r="J124" t="s">
        <v>29</v>
      </c>
      <c r="K124" s="1">
        <v>45204</v>
      </c>
      <c r="L124">
        <f t="shared" si="11"/>
        <v>2298</v>
      </c>
      <c r="M124">
        <f>IF(Table1[[#This Row],[Alive]]="No",Table1[[#This Row],[daysDeath]],Table1[[#This Row],[daysSince]])</f>
        <v>2298</v>
      </c>
      <c r="N124">
        <v>123</v>
      </c>
      <c r="O124">
        <v>15.4</v>
      </c>
      <c r="P124">
        <v>95</v>
      </c>
      <c r="Q124">
        <v>17</v>
      </c>
      <c r="R124">
        <v>9.5</v>
      </c>
      <c r="S124">
        <v>86</v>
      </c>
      <c r="T124">
        <v>99</v>
      </c>
      <c r="U124">
        <v>27</v>
      </c>
      <c r="V124">
        <v>191</v>
      </c>
      <c r="W124">
        <v>65</v>
      </c>
      <c r="X124" t="s">
        <v>33</v>
      </c>
      <c r="Y124" t="s">
        <v>29</v>
      </c>
      <c r="Z124" t="s">
        <v>29</v>
      </c>
    </row>
    <row r="125" spans="1:26" ht="30" customHeight="1">
      <c r="A125">
        <v>912416319</v>
      </c>
      <c r="B125">
        <f>COUNTIF(A:A,A125)</f>
        <v>1</v>
      </c>
      <c r="C125" s="1">
        <f t="shared" ca="1" si="9"/>
        <v>15319</v>
      </c>
      <c r="D125" s="1">
        <v>42916</v>
      </c>
      <c r="E125" s="4">
        <f ca="1">DATEDIF(Table1[[#This Row],[DOB]],Table1[[#This Row],[eventDate]],"Y")</f>
        <v>75</v>
      </c>
      <c r="F125" s="4" t="str">
        <f t="shared" si="10"/>
        <v>Man</v>
      </c>
      <c r="G125" s="4">
        <f ca="1">_xlfn.DAYS(TODAY(),Table1[[#This Row],[eventDate]])</f>
        <v>3197</v>
      </c>
      <c r="H125" t="s">
        <v>27</v>
      </c>
      <c r="I125" t="s">
        <v>34</v>
      </c>
      <c r="J125" t="s">
        <v>29</v>
      </c>
      <c r="K125" s="1">
        <v>42966</v>
      </c>
      <c r="L125">
        <f t="shared" si="11"/>
        <v>50</v>
      </c>
      <c r="M125">
        <f>IF(Table1[[#This Row],[Alive]]="No",Table1[[#This Row],[daysDeath]],Table1[[#This Row],[daysSince]])</f>
        <v>50</v>
      </c>
      <c r="N125">
        <v>131</v>
      </c>
      <c r="O125">
        <v>5</v>
      </c>
      <c r="P125">
        <v>230</v>
      </c>
      <c r="Q125">
        <v>12</v>
      </c>
      <c r="R125">
        <v>6</v>
      </c>
      <c r="S125">
        <v>56</v>
      </c>
      <c r="T125">
        <v>26</v>
      </c>
      <c r="U125">
        <v>34</v>
      </c>
      <c r="V125">
        <v>7</v>
      </c>
      <c r="W125">
        <v>89</v>
      </c>
      <c r="X125" t="s">
        <v>30</v>
      </c>
      <c r="Y125" t="s">
        <v>29</v>
      </c>
      <c r="Z125" t="s">
        <v>29</v>
      </c>
    </row>
    <row r="126" spans="1:26" ht="30" customHeight="1">
      <c r="A126">
        <v>1502476150</v>
      </c>
      <c r="B126">
        <f>COUNTIF(A:A,A126)</f>
        <v>1</v>
      </c>
      <c r="C126" s="1">
        <f t="shared" ca="1" si="9"/>
        <v>17213</v>
      </c>
      <c r="D126" s="1">
        <v>42927</v>
      </c>
      <c r="E126" s="4">
        <f ca="1">DATEDIF(Table1[[#This Row],[DOB]],Table1[[#This Row],[eventDate]],"Y")</f>
        <v>70</v>
      </c>
      <c r="F126" s="4" t="str">
        <f t="shared" si="10"/>
        <v>Man</v>
      </c>
      <c r="G126" s="4">
        <f ca="1">_xlfn.DAYS(TODAY(),Table1[[#This Row],[eventDate]])</f>
        <v>3186</v>
      </c>
      <c r="H126" t="s">
        <v>32</v>
      </c>
      <c r="I126" t="s">
        <v>28</v>
      </c>
      <c r="J126" t="s">
        <v>29</v>
      </c>
      <c r="K126" s="1">
        <v>43250</v>
      </c>
      <c r="L126">
        <f t="shared" si="11"/>
        <v>323</v>
      </c>
      <c r="M126">
        <f>IF(Table1[[#This Row],[Alive]]="No",Table1[[#This Row],[daysDeath]],Table1[[#This Row],[daysSince]])</f>
        <v>323</v>
      </c>
      <c r="N126">
        <v>145</v>
      </c>
      <c r="O126">
        <v>7.8</v>
      </c>
      <c r="P126">
        <v>278</v>
      </c>
      <c r="Q126">
        <v>12</v>
      </c>
      <c r="R126">
        <v>7.2</v>
      </c>
      <c r="S126">
        <v>71</v>
      </c>
      <c r="T126">
        <v>438</v>
      </c>
      <c r="U126">
        <v>26</v>
      </c>
      <c r="V126">
        <v>11</v>
      </c>
      <c r="W126">
        <v>79</v>
      </c>
      <c r="X126" t="s">
        <v>30</v>
      </c>
      <c r="Y126" t="s">
        <v>29</v>
      </c>
      <c r="Z126" t="s">
        <v>29</v>
      </c>
    </row>
    <row r="127" spans="1:26" ht="30" customHeight="1">
      <c r="A127">
        <v>111793564</v>
      </c>
      <c r="B127">
        <f>COUNTIF(A:A,A127)</f>
        <v>1</v>
      </c>
      <c r="C127" s="1">
        <f t="shared" ca="1" si="9"/>
        <v>29160</v>
      </c>
      <c r="D127" s="1">
        <v>42941</v>
      </c>
      <c r="E127" s="4">
        <f ca="1">DATEDIF(Table1[[#This Row],[DOB]],Table1[[#This Row],[eventDate]],"Y")</f>
        <v>37</v>
      </c>
      <c r="F127" s="4" t="str">
        <f t="shared" si="10"/>
        <v>Woman</v>
      </c>
      <c r="G127" s="4">
        <f ca="1">_xlfn.DAYS(TODAY(),Table1[[#This Row],[eventDate]])</f>
        <v>3172</v>
      </c>
      <c r="H127" t="s">
        <v>32</v>
      </c>
      <c r="I127" t="s">
        <v>34</v>
      </c>
      <c r="J127" t="s">
        <v>31</v>
      </c>
      <c r="L127" t="str">
        <f t="shared" si="11"/>
        <v/>
      </c>
      <c r="M127">
        <f ca="1">IF(Table1[[#This Row],[Alive]]="No",Table1[[#This Row],[daysDeath]],Table1[[#This Row],[daysSince]])</f>
        <v>3172</v>
      </c>
      <c r="N127">
        <v>107</v>
      </c>
      <c r="O127">
        <v>12.1</v>
      </c>
      <c r="P127">
        <v>46</v>
      </c>
      <c r="Q127">
        <v>21</v>
      </c>
      <c r="R127">
        <v>4.2</v>
      </c>
      <c r="S127">
        <v>77</v>
      </c>
      <c r="T127">
        <v>71</v>
      </c>
      <c r="U127">
        <v>22</v>
      </c>
      <c r="V127">
        <v>194</v>
      </c>
      <c r="X127" t="s">
        <v>33</v>
      </c>
      <c r="Y127" t="s">
        <v>29</v>
      </c>
      <c r="Z127" t="s">
        <v>29</v>
      </c>
    </row>
    <row r="128" spans="1:26" ht="30" customHeight="1">
      <c r="A128">
        <v>2302716434</v>
      </c>
      <c r="B128">
        <f>COUNTIF(A:A,A128)</f>
        <v>1</v>
      </c>
      <c r="C128" s="1">
        <f t="shared" ca="1" si="9"/>
        <v>25987</v>
      </c>
      <c r="D128" s="1">
        <v>42943</v>
      </c>
      <c r="E128" s="4">
        <f ca="1">DATEDIF(Table1[[#This Row],[DOB]],Table1[[#This Row],[eventDate]],"Y")</f>
        <v>46</v>
      </c>
      <c r="F128" s="4" t="str">
        <f t="shared" si="10"/>
        <v>Man</v>
      </c>
      <c r="G128" s="4">
        <f ca="1">_xlfn.DAYS(TODAY(),Table1[[#This Row],[eventDate]])</f>
        <v>3170</v>
      </c>
      <c r="H128" t="s">
        <v>40</v>
      </c>
      <c r="I128" t="s">
        <v>28</v>
      </c>
      <c r="J128" t="s">
        <v>29</v>
      </c>
      <c r="K128" s="7">
        <v>43093</v>
      </c>
      <c r="L128">
        <f t="shared" si="11"/>
        <v>150</v>
      </c>
      <c r="M128">
        <f>IF(Table1[[#This Row],[Alive]]="No",Table1[[#This Row],[daysDeath]],Table1[[#This Row],[daysSince]])</f>
        <v>150</v>
      </c>
      <c r="N128">
        <v>85</v>
      </c>
      <c r="O128">
        <v>4</v>
      </c>
      <c r="P128">
        <v>162</v>
      </c>
      <c r="Q128">
        <v>16</v>
      </c>
      <c r="R128">
        <v>1.8</v>
      </c>
      <c r="S128">
        <v>38</v>
      </c>
      <c r="T128">
        <v>147</v>
      </c>
      <c r="U128">
        <v>18</v>
      </c>
      <c r="V128">
        <v>77</v>
      </c>
      <c r="W128">
        <v>85</v>
      </c>
      <c r="X128" t="s">
        <v>33</v>
      </c>
      <c r="Y128" t="s">
        <v>29</v>
      </c>
      <c r="Z128" t="s">
        <v>29</v>
      </c>
    </row>
    <row r="129" spans="1:27" ht="30" customHeight="1">
      <c r="A129">
        <v>1312506431</v>
      </c>
      <c r="B129">
        <f>COUNTIF(A:A,A129)</f>
        <v>1</v>
      </c>
      <c r="C129" s="1">
        <f t="shared" ca="1" si="9"/>
        <v>18610</v>
      </c>
      <c r="D129" s="1">
        <v>42955</v>
      </c>
      <c r="E129" s="4">
        <f ca="1">DATEDIF(Table1[[#This Row],[DOB]],Table1[[#This Row],[eventDate]],"Y")</f>
        <v>66</v>
      </c>
      <c r="F129" s="4" t="str">
        <f t="shared" si="10"/>
        <v>Man</v>
      </c>
      <c r="G129" s="4">
        <f ca="1">_xlfn.DAYS(TODAY(),Table1[[#This Row],[eventDate]])</f>
        <v>3158</v>
      </c>
      <c r="H129" t="s">
        <v>32</v>
      </c>
      <c r="I129" t="s">
        <v>34</v>
      </c>
      <c r="J129" t="s">
        <v>29</v>
      </c>
      <c r="K129" s="1">
        <v>42997</v>
      </c>
      <c r="L129">
        <f t="shared" si="11"/>
        <v>42</v>
      </c>
      <c r="M129">
        <f>IF(Table1[[#This Row],[Alive]]="No",Table1[[#This Row],[daysDeath]],Table1[[#This Row],[daysSince]])</f>
        <v>42</v>
      </c>
      <c r="N129">
        <v>88</v>
      </c>
      <c r="O129">
        <v>14.9</v>
      </c>
      <c r="P129">
        <v>198</v>
      </c>
      <c r="Q129">
        <v>15</v>
      </c>
      <c r="R129">
        <v>15</v>
      </c>
      <c r="S129">
        <v>91</v>
      </c>
      <c r="T129">
        <v>39</v>
      </c>
      <c r="U129">
        <v>17</v>
      </c>
      <c r="V129">
        <v>291</v>
      </c>
      <c r="W129">
        <v>59</v>
      </c>
      <c r="X129" t="s">
        <v>30</v>
      </c>
      <c r="Y129" t="s">
        <v>29</v>
      </c>
      <c r="Z129" t="s">
        <v>31</v>
      </c>
    </row>
    <row r="130" spans="1:27" ht="30" customHeight="1">
      <c r="A130">
        <v>802633277</v>
      </c>
      <c r="B130">
        <f>COUNTIF(A:A,A130)</f>
        <v>1</v>
      </c>
      <c r="C130" s="1">
        <f t="shared" ca="1" si="9"/>
        <v>23050</v>
      </c>
      <c r="D130" s="1">
        <v>42957</v>
      </c>
      <c r="E130" s="4">
        <f ca="1">DATEDIF(Table1[[#This Row],[DOB]],Table1[[#This Row],[eventDate]],"Y")</f>
        <v>54</v>
      </c>
      <c r="F130" s="4" t="str">
        <f t="shared" si="10"/>
        <v>Man</v>
      </c>
      <c r="G130" s="4">
        <f ca="1">_xlfn.DAYS(TODAY(),Table1[[#This Row],[eventDate]])</f>
        <v>3156</v>
      </c>
      <c r="H130" t="s">
        <v>27</v>
      </c>
      <c r="I130" t="s">
        <v>34</v>
      </c>
      <c r="J130" t="s">
        <v>29</v>
      </c>
      <c r="K130" s="1">
        <v>43041</v>
      </c>
      <c r="L130">
        <f t="shared" si="11"/>
        <v>84</v>
      </c>
      <c r="M130">
        <f>IF(Table1[[#This Row],[Alive]]="No",Table1[[#This Row],[daysDeath]],Table1[[#This Row],[daysSince]])</f>
        <v>84</v>
      </c>
      <c r="N130">
        <v>122</v>
      </c>
      <c r="O130">
        <v>13.3</v>
      </c>
      <c r="P130">
        <v>307</v>
      </c>
      <c r="Q130">
        <v>15</v>
      </c>
      <c r="R130">
        <v>3.6</v>
      </c>
      <c r="S130">
        <v>76</v>
      </c>
      <c r="T130">
        <v>268</v>
      </c>
      <c r="U130">
        <v>18</v>
      </c>
      <c r="V130">
        <v>144</v>
      </c>
      <c r="W130">
        <v>89</v>
      </c>
      <c r="X130" t="s">
        <v>30</v>
      </c>
      <c r="Y130" t="s">
        <v>31</v>
      </c>
      <c r="Z130" t="s">
        <v>29</v>
      </c>
    </row>
    <row r="131" spans="1:27" ht="30" customHeight="1">
      <c r="A131">
        <v>1609673743</v>
      </c>
      <c r="B131">
        <f>COUNTIF(A:A,A131)</f>
        <v>1</v>
      </c>
      <c r="C131" s="1">
        <f t="shared" ca="1" si="9"/>
        <v>24731</v>
      </c>
      <c r="D131" s="1">
        <v>42963</v>
      </c>
      <c r="E131" s="4">
        <f ca="1">DATEDIF(Table1[[#This Row],[DOB]],Table1[[#This Row],[eventDate]],"Y")</f>
        <v>49</v>
      </c>
      <c r="F131" s="4" t="str">
        <f t="shared" si="10"/>
        <v>Woman</v>
      </c>
      <c r="G131" s="4">
        <f ca="1">_xlfn.DAYS(TODAY(),Table1[[#This Row],[eventDate]])</f>
        <v>3150</v>
      </c>
      <c r="H131" t="s">
        <v>32</v>
      </c>
      <c r="I131" t="s">
        <v>34</v>
      </c>
      <c r="J131" t="s">
        <v>29</v>
      </c>
      <c r="K131" s="1">
        <v>44666</v>
      </c>
      <c r="L131">
        <f t="shared" si="11"/>
        <v>1703</v>
      </c>
      <c r="M131">
        <f>IF(Table1[[#This Row],[Alive]]="No",Table1[[#This Row],[daysDeath]],Table1[[#This Row],[daysSince]])</f>
        <v>1703</v>
      </c>
      <c r="N131">
        <v>126</v>
      </c>
      <c r="O131">
        <v>9.9</v>
      </c>
      <c r="P131">
        <v>385</v>
      </c>
      <c r="Q131">
        <v>10</v>
      </c>
      <c r="R131">
        <v>2.8</v>
      </c>
      <c r="S131">
        <v>62</v>
      </c>
      <c r="T131">
        <v>7</v>
      </c>
      <c r="U131">
        <v>33</v>
      </c>
      <c r="V131">
        <v>7</v>
      </c>
      <c r="W131">
        <v>79</v>
      </c>
      <c r="X131" t="s">
        <v>33</v>
      </c>
      <c r="Y131" t="s">
        <v>29</v>
      </c>
      <c r="Z131" t="s">
        <v>29</v>
      </c>
      <c r="AA131" t="s">
        <v>41</v>
      </c>
    </row>
    <row r="132" spans="1:27" ht="30" customHeight="1">
      <c r="A132">
        <v>1111336040</v>
      </c>
      <c r="B132">
        <f>COUNTIF(A:A,A132)</f>
        <v>1</v>
      </c>
      <c r="C132" s="1">
        <f t="shared" ca="1" si="9"/>
        <v>12369</v>
      </c>
      <c r="D132" s="1">
        <v>42972</v>
      </c>
      <c r="E132" s="4">
        <f ca="1">DATEDIF(Table1[[#This Row],[DOB]],Table1[[#This Row],[eventDate]],"Y")</f>
        <v>83</v>
      </c>
      <c r="F132" s="4" t="str">
        <f t="shared" si="10"/>
        <v>Woman</v>
      </c>
      <c r="G132" s="4">
        <f ca="1">_xlfn.DAYS(TODAY(),Table1[[#This Row],[eventDate]])</f>
        <v>3141</v>
      </c>
      <c r="H132" t="s">
        <v>27</v>
      </c>
      <c r="I132" t="s">
        <v>34</v>
      </c>
      <c r="J132" t="s">
        <v>31</v>
      </c>
      <c r="L132" t="str">
        <f t="shared" si="11"/>
        <v/>
      </c>
      <c r="M132">
        <f ca="1">IF(Table1[[#This Row],[Alive]]="No",Table1[[#This Row],[daysDeath]],Table1[[#This Row],[daysSince]])</f>
        <v>3141</v>
      </c>
      <c r="N132">
        <v>107</v>
      </c>
      <c r="O132">
        <v>8.6999999999999993</v>
      </c>
      <c r="P132">
        <v>256</v>
      </c>
      <c r="Q132">
        <v>13</v>
      </c>
      <c r="R132">
        <v>8</v>
      </c>
      <c r="S132">
        <v>96</v>
      </c>
      <c r="T132">
        <v>48</v>
      </c>
      <c r="U132">
        <v>33</v>
      </c>
      <c r="V132">
        <v>18</v>
      </c>
      <c r="X132" t="s">
        <v>33</v>
      </c>
      <c r="Y132" t="s">
        <v>31</v>
      </c>
      <c r="Z132" t="s">
        <v>29</v>
      </c>
    </row>
    <row r="133" spans="1:27" ht="30" customHeight="1">
      <c r="A133">
        <v>3003616137</v>
      </c>
      <c r="B133">
        <f>COUNTIF(A:A,A133)</f>
        <v>1</v>
      </c>
      <c r="C133" s="1">
        <f t="shared" ca="1" si="9"/>
        <v>22370</v>
      </c>
      <c r="D133" s="1">
        <v>42997</v>
      </c>
      <c r="E133" s="4">
        <f ca="1">DATEDIF(Table1[[#This Row],[DOB]],Table1[[#This Row],[eventDate]],"Y")</f>
        <v>56</v>
      </c>
      <c r="F133" s="4" t="str">
        <f t="shared" si="10"/>
        <v>Man</v>
      </c>
      <c r="G133" s="4">
        <f ca="1">_xlfn.DAYS(TODAY(),Table1[[#This Row],[eventDate]])</f>
        <v>3116</v>
      </c>
      <c r="H133" t="s">
        <v>32</v>
      </c>
      <c r="I133" t="s">
        <v>28</v>
      </c>
      <c r="J133" t="s">
        <v>29</v>
      </c>
      <c r="K133" s="1">
        <v>43058</v>
      </c>
      <c r="L133">
        <f t="shared" si="11"/>
        <v>61</v>
      </c>
      <c r="M133">
        <f>IF(Table1[[#This Row],[Alive]]="No",Table1[[#This Row],[daysDeath]],Table1[[#This Row],[daysSince]])</f>
        <v>61</v>
      </c>
      <c r="N133">
        <v>127</v>
      </c>
      <c r="O133">
        <v>12.5</v>
      </c>
      <c r="P133">
        <v>279</v>
      </c>
      <c r="Q133">
        <v>18</v>
      </c>
      <c r="R133">
        <v>4.2</v>
      </c>
      <c r="S133">
        <v>61</v>
      </c>
      <c r="T133">
        <v>529</v>
      </c>
      <c r="U133">
        <v>22</v>
      </c>
      <c r="V133">
        <v>38</v>
      </c>
      <c r="W133">
        <v>88.1</v>
      </c>
      <c r="X133" t="s">
        <v>30</v>
      </c>
      <c r="Y133" t="s">
        <v>31</v>
      </c>
      <c r="Z133" t="s">
        <v>29</v>
      </c>
    </row>
    <row r="134" spans="1:27" ht="30" customHeight="1">
      <c r="A134">
        <v>1309545235</v>
      </c>
      <c r="B134">
        <f>COUNTIF(A:A,A134)</f>
        <v>1</v>
      </c>
      <c r="C134" s="1">
        <f t="shared" ca="1" si="9"/>
        <v>19980</v>
      </c>
      <c r="D134" s="1">
        <v>43001</v>
      </c>
      <c r="E134" s="4">
        <f ca="1">DATEDIF(Table1[[#This Row],[DOB]],Table1[[#This Row],[eventDate]],"Y")</f>
        <v>63</v>
      </c>
      <c r="F134" s="4" t="str">
        <f t="shared" si="10"/>
        <v>Man</v>
      </c>
      <c r="G134" s="4">
        <f ca="1">_xlfn.DAYS(TODAY(),Table1[[#This Row],[eventDate]])</f>
        <v>3112</v>
      </c>
      <c r="H134" t="s">
        <v>27</v>
      </c>
      <c r="I134" t="s">
        <v>28</v>
      </c>
      <c r="J134" t="s">
        <v>29</v>
      </c>
      <c r="K134" s="1">
        <v>43388</v>
      </c>
      <c r="L134">
        <f t="shared" si="11"/>
        <v>387</v>
      </c>
      <c r="M134">
        <f>IF(Table1[[#This Row],[Alive]]="No",Table1[[#This Row],[daysDeath]],Table1[[#This Row],[daysSince]])</f>
        <v>387</v>
      </c>
      <c r="N134">
        <v>117</v>
      </c>
      <c r="O134">
        <v>5.4</v>
      </c>
      <c r="P134">
        <v>233</v>
      </c>
      <c r="Q134">
        <v>12</v>
      </c>
      <c r="R134">
        <v>4.4000000000000004</v>
      </c>
      <c r="S134">
        <v>79</v>
      </c>
      <c r="T134">
        <v>253</v>
      </c>
      <c r="U134">
        <v>25</v>
      </c>
      <c r="V134">
        <v>6</v>
      </c>
      <c r="W134">
        <v>78.3</v>
      </c>
      <c r="X134" t="s">
        <v>30</v>
      </c>
      <c r="Y134" t="s">
        <v>31</v>
      </c>
      <c r="Z134" t="s">
        <v>29</v>
      </c>
    </row>
    <row r="135" spans="1:27" ht="30" customHeight="1">
      <c r="A135">
        <v>902576046</v>
      </c>
      <c r="B135">
        <f>COUNTIF(A:A,A135)</f>
        <v>1</v>
      </c>
      <c r="C135" s="1">
        <f t="shared" ca="1" si="9"/>
        <v>20860</v>
      </c>
      <c r="D135" s="1">
        <v>43007</v>
      </c>
      <c r="E135" s="4">
        <f ca="1">DATEDIF(Table1[[#This Row],[DOB]],Table1[[#This Row],[eventDate]],"Y")</f>
        <v>60</v>
      </c>
      <c r="F135" s="4" t="str">
        <f t="shared" si="10"/>
        <v>Woman</v>
      </c>
      <c r="G135" s="4">
        <f ca="1">_xlfn.DAYS(TODAY(),Table1[[#This Row],[eventDate]])</f>
        <v>3106</v>
      </c>
      <c r="H135" t="s">
        <v>27</v>
      </c>
      <c r="I135" t="s">
        <v>34</v>
      </c>
      <c r="J135" t="s">
        <v>29</v>
      </c>
      <c r="K135" s="1">
        <v>43308</v>
      </c>
      <c r="L135">
        <f t="shared" si="11"/>
        <v>301</v>
      </c>
      <c r="M135">
        <f>IF(Table1[[#This Row],[Alive]]="No",Table1[[#This Row],[daysDeath]],Table1[[#This Row],[daysSince]])</f>
        <v>301</v>
      </c>
      <c r="N135">
        <v>109</v>
      </c>
      <c r="O135">
        <v>6.8</v>
      </c>
      <c r="P135">
        <v>278</v>
      </c>
      <c r="Q135">
        <v>10</v>
      </c>
      <c r="R135">
        <v>2.2000000000000002</v>
      </c>
      <c r="S135">
        <v>36</v>
      </c>
      <c r="T135">
        <v>325</v>
      </c>
      <c r="U135">
        <v>22</v>
      </c>
      <c r="V135">
        <v>18</v>
      </c>
      <c r="W135">
        <v>41</v>
      </c>
      <c r="X135" t="s">
        <v>30</v>
      </c>
      <c r="Y135" t="s">
        <v>31</v>
      </c>
      <c r="Z135" t="s">
        <v>29</v>
      </c>
    </row>
    <row r="136" spans="1:27" ht="30" customHeight="1">
      <c r="A136">
        <v>303356146</v>
      </c>
      <c r="B136">
        <f>COUNTIF(A:A,A136)</f>
        <v>1</v>
      </c>
      <c r="C136" s="1">
        <f t="shared" ca="1" si="9"/>
        <v>12846</v>
      </c>
      <c r="D136" s="1">
        <v>43010</v>
      </c>
      <c r="E136" s="4">
        <f ca="1">DATEDIF(Table1[[#This Row],[DOB]],Table1[[#This Row],[eventDate]],"Y")</f>
        <v>82</v>
      </c>
      <c r="F136" s="4" t="str">
        <f t="shared" si="10"/>
        <v>Woman</v>
      </c>
      <c r="G136" s="4">
        <f ca="1">_xlfn.DAYS(TODAY(),Table1[[#This Row],[eventDate]])</f>
        <v>3103</v>
      </c>
      <c r="H136" t="s">
        <v>27</v>
      </c>
      <c r="I136" t="s">
        <v>34</v>
      </c>
      <c r="J136" t="s">
        <v>29</v>
      </c>
      <c r="K136" s="1">
        <v>43058</v>
      </c>
      <c r="L136">
        <f t="shared" si="11"/>
        <v>48</v>
      </c>
      <c r="M136">
        <f>IF(Table1[[#This Row],[Alive]]="No",Table1[[#This Row],[daysDeath]],Table1[[#This Row],[daysSince]])</f>
        <v>48</v>
      </c>
      <c r="N136">
        <v>96</v>
      </c>
      <c r="O136">
        <v>8.6999999999999993</v>
      </c>
      <c r="P136">
        <v>229</v>
      </c>
      <c r="Q136">
        <v>17</v>
      </c>
      <c r="R136">
        <v>3</v>
      </c>
      <c r="S136">
        <v>69</v>
      </c>
      <c r="T136">
        <v>368</v>
      </c>
      <c r="U136">
        <v>19</v>
      </c>
      <c r="V136">
        <v>50</v>
      </c>
      <c r="X136" t="s">
        <v>30</v>
      </c>
      <c r="Y136" t="s">
        <v>31</v>
      </c>
      <c r="Z136" t="s">
        <v>31</v>
      </c>
    </row>
    <row r="137" spans="1:27" ht="30" customHeight="1">
      <c r="A137">
        <v>2804486230</v>
      </c>
      <c r="B137">
        <f>COUNTIF(A:A,A137)</f>
        <v>1</v>
      </c>
      <c r="C137" s="1">
        <f t="shared" ca="1" si="9"/>
        <v>17651</v>
      </c>
      <c r="D137" s="1">
        <v>43018</v>
      </c>
      <c r="E137" s="4">
        <f ca="1">DATEDIF(Table1[[#This Row],[DOB]],Table1[[#This Row],[eventDate]],"Y")</f>
        <v>69</v>
      </c>
      <c r="F137" s="4" t="str">
        <f t="shared" si="10"/>
        <v>Man</v>
      </c>
      <c r="G137" s="4">
        <f ca="1">_xlfn.DAYS(TODAY(),Table1[[#This Row],[eventDate]])</f>
        <v>3095</v>
      </c>
      <c r="H137" t="s">
        <v>32</v>
      </c>
      <c r="I137" t="s">
        <v>28</v>
      </c>
      <c r="J137" t="s">
        <v>29</v>
      </c>
      <c r="K137" s="1">
        <v>43321</v>
      </c>
      <c r="L137">
        <f t="shared" si="11"/>
        <v>303</v>
      </c>
      <c r="M137">
        <f>IF(Table1[[#This Row],[Alive]]="No",Table1[[#This Row],[daysDeath]],Table1[[#This Row],[daysSince]])</f>
        <v>303</v>
      </c>
      <c r="N137">
        <v>127</v>
      </c>
      <c r="O137">
        <v>7.4</v>
      </c>
      <c r="P137">
        <v>188</v>
      </c>
      <c r="Q137">
        <v>11</v>
      </c>
      <c r="R137">
        <v>3.6</v>
      </c>
      <c r="S137">
        <v>69</v>
      </c>
      <c r="T137">
        <v>106</v>
      </c>
      <c r="U137">
        <v>33</v>
      </c>
      <c r="V137">
        <v>3</v>
      </c>
      <c r="W137">
        <v>64</v>
      </c>
      <c r="X137" t="s">
        <v>30</v>
      </c>
      <c r="Y137" t="s">
        <v>31</v>
      </c>
      <c r="Z137" t="s">
        <v>29</v>
      </c>
    </row>
    <row r="138" spans="1:27" ht="30" customHeight="1">
      <c r="A138">
        <v>2207496260</v>
      </c>
      <c r="B138">
        <f>COUNTIF(A:A,A138)</f>
        <v>1</v>
      </c>
      <c r="C138" s="1">
        <f t="shared" ca="1" si="9"/>
        <v>18101</v>
      </c>
      <c r="D138" s="1">
        <v>43024</v>
      </c>
      <c r="E138" s="4">
        <f ca="1">DATEDIF(Table1[[#This Row],[DOB]],Table1[[#This Row],[eventDate]],"Y")</f>
        <v>68</v>
      </c>
      <c r="F138" s="4" t="str">
        <f t="shared" si="10"/>
        <v>Woman</v>
      </c>
      <c r="G138" s="4">
        <f ca="1">_xlfn.DAYS(TODAY(),Table1[[#This Row],[eventDate]])</f>
        <v>3089</v>
      </c>
      <c r="H138" t="s">
        <v>32</v>
      </c>
      <c r="I138" t="s">
        <v>28</v>
      </c>
      <c r="J138" t="s">
        <v>29</v>
      </c>
      <c r="K138" s="1">
        <v>43059</v>
      </c>
      <c r="L138">
        <f t="shared" si="11"/>
        <v>35</v>
      </c>
      <c r="M138">
        <f>IF(Table1[[#This Row],[Alive]]="No",Table1[[#This Row],[daysDeath]],Table1[[#This Row],[daysSince]])</f>
        <v>35</v>
      </c>
      <c r="N138">
        <v>98</v>
      </c>
      <c r="O138">
        <v>9.4</v>
      </c>
      <c r="P138">
        <v>382</v>
      </c>
      <c r="Q138">
        <v>16</v>
      </c>
      <c r="R138">
        <v>1.2</v>
      </c>
      <c r="S138">
        <v>82</v>
      </c>
      <c r="T138">
        <v>98</v>
      </c>
      <c r="U138">
        <v>24</v>
      </c>
      <c r="V138">
        <v>47</v>
      </c>
      <c r="W138">
        <v>56</v>
      </c>
      <c r="X138" t="s">
        <v>30</v>
      </c>
      <c r="Y138" t="s">
        <v>29</v>
      </c>
      <c r="Z138" t="s">
        <v>29</v>
      </c>
    </row>
    <row r="139" spans="1:27" ht="30" customHeight="1">
      <c r="A139">
        <v>1401476007</v>
      </c>
      <c r="B139">
        <f>COUNTIF(A:A,A139)</f>
        <v>1</v>
      </c>
      <c r="C139" s="1">
        <f t="shared" ca="1" si="9"/>
        <v>17181</v>
      </c>
      <c r="D139" s="1">
        <v>43026</v>
      </c>
      <c r="E139" s="4">
        <f ca="1">DATEDIF(Table1[[#This Row],[DOB]],Table1[[#This Row],[eventDate]],"Y")</f>
        <v>70</v>
      </c>
      <c r="F139" s="4" t="str">
        <f t="shared" si="10"/>
        <v>Woman</v>
      </c>
      <c r="G139" s="4">
        <f ca="1">_xlfn.DAYS(TODAY(),Table1[[#This Row],[eventDate]])</f>
        <v>3087</v>
      </c>
      <c r="H139" t="s">
        <v>36</v>
      </c>
      <c r="I139" t="s">
        <v>34</v>
      </c>
      <c r="J139" t="s">
        <v>29</v>
      </c>
      <c r="K139" s="1">
        <v>43148</v>
      </c>
      <c r="L139">
        <f t="shared" si="11"/>
        <v>122</v>
      </c>
      <c r="M139">
        <f>IF(Table1[[#This Row],[Alive]]="No",Table1[[#This Row],[daysDeath]],Table1[[#This Row],[daysSince]])</f>
        <v>122</v>
      </c>
      <c r="N139">
        <v>103</v>
      </c>
      <c r="O139">
        <v>17.100000000000001</v>
      </c>
      <c r="P139">
        <v>590</v>
      </c>
      <c r="Q139">
        <v>15</v>
      </c>
      <c r="R139">
        <v>6.5</v>
      </c>
      <c r="S139">
        <v>88</v>
      </c>
      <c r="T139">
        <v>290</v>
      </c>
      <c r="U139">
        <v>13</v>
      </c>
      <c r="V139">
        <v>156</v>
      </c>
      <c r="W139">
        <v>82.2</v>
      </c>
      <c r="X139" t="s">
        <v>30</v>
      </c>
      <c r="Y139" t="s">
        <v>31</v>
      </c>
      <c r="Z139" t="s">
        <v>29</v>
      </c>
    </row>
    <row r="140" spans="1:27" ht="30" customHeight="1">
      <c r="A140">
        <v>1702573028</v>
      </c>
      <c r="B140">
        <f>COUNTIF(A:A,A140)</f>
        <v>1</v>
      </c>
      <c r="C140" s="1">
        <f t="shared" ca="1" si="9"/>
        <v>20868</v>
      </c>
      <c r="D140" s="1">
        <v>43034</v>
      </c>
      <c r="E140" s="4">
        <f ca="1">DATEDIF(Table1[[#This Row],[DOB]],Table1[[#This Row],[eventDate]],"Y")</f>
        <v>60</v>
      </c>
      <c r="F140" s="4" t="str">
        <f t="shared" si="10"/>
        <v>Woman</v>
      </c>
      <c r="G140" s="4">
        <f ca="1">_xlfn.DAYS(TODAY(),Table1[[#This Row],[eventDate]])</f>
        <v>3079</v>
      </c>
      <c r="H140" t="s">
        <v>27</v>
      </c>
      <c r="I140" t="s">
        <v>28</v>
      </c>
      <c r="J140" t="s">
        <v>29</v>
      </c>
      <c r="K140" s="1">
        <v>43057</v>
      </c>
      <c r="L140">
        <f t="shared" si="11"/>
        <v>23</v>
      </c>
      <c r="M140">
        <f>IF(Table1[[#This Row],[Alive]]="No",Table1[[#This Row],[daysDeath]],Table1[[#This Row],[daysSince]])</f>
        <v>23</v>
      </c>
      <c r="N140">
        <v>128</v>
      </c>
      <c r="O140">
        <v>13.5</v>
      </c>
      <c r="P140">
        <v>271</v>
      </c>
      <c r="Q140">
        <v>12</v>
      </c>
      <c r="R140">
        <v>6.9</v>
      </c>
      <c r="S140">
        <v>128</v>
      </c>
      <c r="T140">
        <v>168</v>
      </c>
      <c r="U140">
        <v>22</v>
      </c>
      <c r="V140">
        <v>169</v>
      </c>
      <c r="W140">
        <v>79</v>
      </c>
      <c r="X140" t="s">
        <v>30</v>
      </c>
      <c r="Y140" t="s">
        <v>31</v>
      </c>
      <c r="Z140" t="s">
        <v>31</v>
      </c>
    </row>
    <row r="141" spans="1:27" ht="30" customHeight="1">
      <c r="A141">
        <v>2412406146</v>
      </c>
      <c r="B141">
        <f>COUNTIF(A:A,A141)</f>
        <v>1</v>
      </c>
      <c r="C141" s="1">
        <f t="shared" ca="1" si="9"/>
        <v>14969</v>
      </c>
      <c r="D141" s="1">
        <v>43035</v>
      </c>
      <c r="E141" s="4">
        <f ca="1">DATEDIF(Table1[[#This Row],[DOB]],Table1[[#This Row],[eventDate]],"Y")</f>
        <v>76</v>
      </c>
      <c r="F141" s="4" t="str">
        <f t="shared" si="10"/>
        <v>Woman</v>
      </c>
      <c r="G141" s="4">
        <f ca="1">_xlfn.DAYS(TODAY(),Table1[[#This Row],[eventDate]])</f>
        <v>3078</v>
      </c>
      <c r="H141" t="s">
        <v>27</v>
      </c>
      <c r="I141" t="s">
        <v>34</v>
      </c>
      <c r="J141" t="s">
        <v>29</v>
      </c>
      <c r="K141" s="1">
        <v>43041</v>
      </c>
      <c r="L141">
        <f t="shared" si="11"/>
        <v>6</v>
      </c>
      <c r="M141">
        <f>IF(Table1[[#This Row],[Alive]]="No",Table1[[#This Row],[daysDeath]],Table1[[#This Row],[daysSince]])</f>
        <v>6</v>
      </c>
      <c r="N141">
        <v>99</v>
      </c>
      <c r="O141">
        <v>24.5</v>
      </c>
      <c r="P141">
        <v>494</v>
      </c>
      <c r="Q141">
        <v>13</v>
      </c>
      <c r="R141">
        <v>4.5999999999999996</v>
      </c>
      <c r="S141">
        <v>67</v>
      </c>
      <c r="T141">
        <v>221</v>
      </c>
      <c r="U141">
        <v>20</v>
      </c>
      <c r="V141">
        <v>145</v>
      </c>
      <c r="W141">
        <v>43</v>
      </c>
      <c r="X141" t="s">
        <v>30</v>
      </c>
      <c r="Y141" t="s">
        <v>29</v>
      </c>
      <c r="Z141" t="s">
        <v>31</v>
      </c>
    </row>
    <row r="142" spans="1:27" ht="30" customHeight="1">
      <c r="A142">
        <v>1108376126</v>
      </c>
      <c r="B142">
        <f>COUNTIF(A:A,A142)</f>
        <v>1</v>
      </c>
      <c r="C142" s="1">
        <f t="shared" ca="1" si="9"/>
        <v>13738</v>
      </c>
      <c r="D142" s="1">
        <v>43040</v>
      </c>
      <c r="E142" s="4">
        <f ca="1">DATEDIF(Table1[[#This Row],[DOB]],Table1[[#This Row],[eventDate]],"Y")</f>
        <v>80</v>
      </c>
      <c r="F142" s="4" t="str">
        <f t="shared" si="10"/>
        <v>Woman</v>
      </c>
      <c r="G142" s="4">
        <f ca="1">_xlfn.DAYS(TODAY(),Table1[[#This Row],[eventDate]])</f>
        <v>3073</v>
      </c>
      <c r="H142" t="s">
        <v>27</v>
      </c>
      <c r="I142" t="s">
        <v>34</v>
      </c>
      <c r="J142" t="s">
        <v>29</v>
      </c>
      <c r="K142" s="1">
        <v>43447</v>
      </c>
      <c r="L142">
        <f t="shared" si="11"/>
        <v>407</v>
      </c>
      <c r="M142">
        <f>IF(Table1[[#This Row],[Alive]]="No",Table1[[#This Row],[daysDeath]],Table1[[#This Row],[daysSince]])</f>
        <v>407</v>
      </c>
      <c r="N142">
        <v>89</v>
      </c>
      <c r="O142">
        <v>13</v>
      </c>
      <c r="P142">
        <v>366</v>
      </c>
      <c r="Q142">
        <v>13</v>
      </c>
      <c r="R142">
        <v>3.3</v>
      </c>
      <c r="S142">
        <v>79</v>
      </c>
      <c r="T142">
        <v>349</v>
      </c>
      <c r="U142">
        <v>17</v>
      </c>
      <c r="V142">
        <v>115</v>
      </c>
      <c r="W142">
        <v>64</v>
      </c>
      <c r="X142" t="s">
        <v>30</v>
      </c>
      <c r="Y142" t="s">
        <v>31</v>
      </c>
      <c r="Z142" t="s">
        <v>29</v>
      </c>
    </row>
    <row r="143" spans="1:27" ht="30" customHeight="1">
      <c r="A143">
        <v>2903466440</v>
      </c>
      <c r="B143">
        <f>COUNTIF(A:A,A143)</f>
        <v>1</v>
      </c>
      <c r="C143" s="1">
        <f t="shared" ca="1" si="9"/>
        <v>16890</v>
      </c>
      <c r="D143" s="1">
        <v>43059</v>
      </c>
      <c r="E143" s="4">
        <f ca="1">DATEDIF(Table1[[#This Row],[DOB]],Table1[[#This Row],[eventDate]],"Y")</f>
        <v>71</v>
      </c>
      <c r="F143" s="4" t="str">
        <f t="shared" si="10"/>
        <v>Woman</v>
      </c>
      <c r="G143" s="4">
        <f ca="1">_xlfn.DAYS(TODAY(),Table1[[#This Row],[eventDate]])</f>
        <v>3054</v>
      </c>
      <c r="H143" t="s">
        <v>27</v>
      </c>
      <c r="I143" t="s">
        <v>34</v>
      </c>
      <c r="J143" t="s">
        <v>29</v>
      </c>
      <c r="K143" s="1">
        <v>43080</v>
      </c>
      <c r="L143">
        <f t="shared" si="11"/>
        <v>21</v>
      </c>
      <c r="M143">
        <f>IF(Table1[[#This Row],[Alive]]="No",Table1[[#This Row],[daysDeath]],Table1[[#This Row],[daysSince]])</f>
        <v>21</v>
      </c>
      <c r="N143">
        <v>102</v>
      </c>
      <c r="O143">
        <v>7.8</v>
      </c>
      <c r="P143">
        <v>284</v>
      </c>
      <c r="Q143">
        <v>13</v>
      </c>
      <c r="R143">
        <v>4.5</v>
      </c>
      <c r="S143">
        <v>89</v>
      </c>
      <c r="T143">
        <v>476</v>
      </c>
      <c r="U143">
        <v>17</v>
      </c>
      <c r="V143">
        <v>34</v>
      </c>
      <c r="W143">
        <v>74.900000000000006</v>
      </c>
      <c r="X143" t="s">
        <v>30</v>
      </c>
      <c r="Y143" t="s">
        <v>31</v>
      </c>
      <c r="Z143" t="s">
        <v>31</v>
      </c>
    </row>
    <row r="144" spans="1:27" ht="30" customHeight="1">
      <c r="A144">
        <v>2907576623</v>
      </c>
      <c r="B144">
        <f>COUNTIF(A:A,A144)</f>
        <v>1</v>
      </c>
      <c r="C144" s="1">
        <f t="shared" ca="1" si="9"/>
        <v>21030</v>
      </c>
      <c r="D144" s="1">
        <v>43081</v>
      </c>
      <c r="E144" s="4">
        <f ca="1">DATEDIF(Table1[[#This Row],[DOB]],Table1[[#This Row],[eventDate]],"Y")</f>
        <v>60</v>
      </c>
      <c r="F144" s="4" t="str">
        <f t="shared" si="10"/>
        <v>Woman</v>
      </c>
      <c r="G144" s="4">
        <f ca="1">_xlfn.DAYS(TODAY(),Table1[[#This Row],[eventDate]])</f>
        <v>3032</v>
      </c>
      <c r="H144" t="s">
        <v>32</v>
      </c>
      <c r="I144" t="s">
        <v>34</v>
      </c>
      <c r="J144" t="s">
        <v>29</v>
      </c>
      <c r="K144" s="1">
        <v>43259</v>
      </c>
      <c r="L144">
        <f t="shared" si="11"/>
        <v>178</v>
      </c>
      <c r="M144">
        <f>IF(Table1[[#This Row],[Alive]]="No",Table1[[#This Row],[daysDeath]],Table1[[#This Row],[daysSince]])</f>
        <v>178</v>
      </c>
      <c r="N144">
        <v>112</v>
      </c>
      <c r="O144">
        <v>9.1</v>
      </c>
      <c r="P144">
        <v>289</v>
      </c>
      <c r="Q144">
        <v>12</v>
      </c>
      <c r="R144">
        <v>2.4</v>
      </c>
      <c r="S144">
        <v>51</v>
      </c>
      <c r="T144">
        <v>199</v>
      </c>
      <c r="U144">
        <v>29</v>
      </c>
      <c r="V144">
        <v>5</v>
      </c>
      <c r="W144">
        <v>59</v>
      </c>
      <c r="X144" t="s">
        <v>30</v>
      </c>
      <c r="Y144" t="s">
        <v>31</v>
      </c>
      <c r="Z144" t="s">
        <v>29</v>
      </c>
    </row>
    <row r="145" spans="1:26" ht="30" customHeight="1">
      <c r="A145">
        <v>203633083</v>
      </c>
      <c r="B145">
        <f>COUNTIF(A:A,A145)</f>
        <v>1</v>
      </c>
      <c r="C145" s="1">
        <f t="shared" ca="1" si="9"/>
        <v>23072</v>
      </c>
      <c r="D145" s="1">
        <v>43083</v>
      </c>
      <c r="E145" s="4">
        <f ca="1">DATEDIF(Table1[[#This Row],[DOB]],Table1[[#This Row],[eventDate]],"Y")</f>
        <v>54</v>
      </c>
      <c r="F145" s="4" t="str">
        <f t="shared" si="10"/>
        <v>Woman</v>
      </c>
      <c r="G145" s="4">
        <f ca="1">_xlfn.DAYS(TODAY(),Table1[[#This Row],[eventDate]])</f>
        <v>3030</v>
      </c>
      <c r="H145" t="s">
        <v>32</v>
      </c>
      <c r="I145" t="s">
        <v>28</v>
      </c>
      <c r="J145" t="s">
        <v>29</v>
      </c>
      <c r="K145" s="1">
        <v>43106</v>
      </c>
      <c r="L145">
        <f t="shared" si="11"/>
        <v>23</v>
      </c>
      <c r="M145">
        <f>IF(Table1[[#This Row],[Alive]]="No",Table1[[#This Row],[daysDeath]],Table1[[#This Row],[daysSince]])</f>
        <v>23</v>
      </c>
      <c r="N145">
        <v>83</v>
      </c>
      <c r="O145">
        <v>6.6</v>
      </c>
      <c r="P145">
        <v>205</v>
      </c>
      <c r="Q145">
        <v>13</v>
      </c>
      <c r="R145">
        <v>3.7</v>
      </c>
      <c r="S145">
        <v>54</v>
      </c>
      <c r="T145">
        <v>294</v>
      </c>
      <c r="U145">
        <v>17</v>
      </c>
      <c r="V145">
        <v>23</v>
      </c>
      <c r="W145">
        <v>52.6</v>
      </c>
      <c r="X145" t="s">
        <v>30</v>
      </c>
      <c r="Y145" t="s">
        <v>29</v>
      </c>
      <c r="Z145" t="s">
        <v>29</v>
      </c>
    </row>
    <row r="146" spans="1:26" ht="30" customHeight="1">
      <c r="A146">
        <v>1808476484</v>
      </c>
      <c r="B146">
        <f>COUNTIF(A:A,A146)</f>
        <v>1</v>
      </c>
      <c r="C146" s="1">
        <f t="shared" ca="1" si="9"/>
        <v>17397</v>
      </c>
      <c r="D146" s="1">
        <v>43088</v>
      </c>
      <c r="E146" s="4">
        <f ca="1">DATEDIF(Table1[[#This Row],[DOB]],Table1[[#This Row],[eventDate]],"Y")</f>
        <v>70</v>
      </c>
      <c r="F146" s="4" t="str">
        <f t="shared" si="10"/>
        <v>Woman</v>
      </c>
      <c r="G146" s="4">
        <f ca="1">_xlfn.DAYS(TODAY(),Table1[[#This Row],[eventDate]])</f>
        <v>3025</v>
      </c>
      <c r="H146" t="s">
        <v>32</v>
      </c>
      <c r="I146" t="s">
        <v>28</v>
      </c>
      <c r="J146" t="s">
        <v>31</v>
      </c>
      <c r="L146" t="str">
        <f t="shared" si="11"/>
        <v/>
      </c>
      <c r="M146">
        <f ca="1">IF(Table1[[#This Row],[Alive]]="No",Table1[[#This Row],[daysDeath]],Table1[[#This Row],[daysSince]])</f>
        <v>3025</v>
      </c>
      <c r="N146">
        <v>76</v>
      </c>
      <c r="O146">
        <v>15.6</v>
      </c>
      <c r="P146">
        <v>356</v>
      </c>
      <c r="Q146">
        <v>15</v>
      </c>
      <c r="R146">
        <v>6</v>
      </c>
      <c r="S146">
        <v>54</v>
      </c>
      <c r="T146">
        <v>387</v>
      </c>
      <c r="U146">
        <v>18</v>
      </c>
      <c r="V146">
        <v>61</v>
      </c>
      <c r="W146">
        <v>60</v>
      </c>
      <c r="X146" t="s">
        <v>30</v>
      </c>
      <c r="Y146" t="s">
        <v>31</v>
      </c>
      <c r="Z146" t="s">
        <v>29</v>
      </c>
    </row>
    <row r="147" spans="1:26" ht="30" customHeight="1">
      <c r="A147">
        <v>806816309</v>
      </c>
      <c r="B147">
        <f>COUNTIF(A:A,A147)</f>
        <v>1</v>
      </c>
      <c r="C147" s="1">
        <f t="shared" ca="1" si="9"/>
        <v>29745</v>
      </c>
      <c r="D147" s="1">
        <v>43090</v>
      </c>
      <c r="E147" s="4">
        <f ca="1">DATEDIF(Table1[[#This Row],[DOB]],Table1[[#This Row],[eventDate]],"Y")</f>
        <v>36</v>
      </c>
      <c r="F147" s="4" t="str">
        <f t="shared" si="10"/>
        <v>Woman</v>
      </c>
      <c r="G147" s="4">
        <f ca="1">_xlfn.DAYS(TODAY(),Table1[[#This Row],[eventDate]])</f>
        <v>3023</v>
      </c>
      <c r="H147" t="s">
        <v>32</v>
      </c>
      <c r="I147" t="s">
        <v>28</v>
      </c>
      <c r="J147" t="s">
        <v>31</v>
      </c>
      <c r="L147" t="str">
        <f t="shared" si="11"/>
        <v/>
      </c>
      <c r="M147">
        <f ca="1">IF(Table1[[#This Row],[Alive]]="No",Table1[[#This Row],[daysDeath]],Table1[[#This Row],[daysSince]])</f>
        <v>3023</v>
      </c>
      <c r="N147">
        <v>115</v>
      </c>
      <c r="O147">
        <v>14.9</v>
      </c>
      <c r="P147">
        <v>361</v>
      </c>
      <c r="Q147">
        <v>11</v>
      </c>
      <c r="R147">
        <v>2.7</v>
      </c>
      <c r="S147">
        <v>56</v>
      </c>
      <c r="T147">
        <v>24</v>
      </c>
      <c r="U147">
        <v>34</v>
      </c>
      <c r="V147">
        <v>20</v>
      </c>
      <c r="W147">
        <v>57</v>
      </c>
      <c r="X147" t="s">
        <v>33</v>
      </c>
      <c r="Y147" t="s">
        <v>29</v>
      </c>
      <c r="Z147" t="s">
        <v>29</v>
      </c>
    </row>
    <row r="148" spans="1:26" ht="30" customHeight="1">
      <c r="A148">
        <v>3101303214</v>
      </c>
      <c r="B148">
        <f>COUNTIF(A:A,A148)</f>
        <v>1</v>
      </c>
      <c r="C148" s="1">
        <f t="shared" ca="1" si="9"/>
        <v>10989</v>
      </c>
      <c r="D148" s="1">
        <v>43091</v>
      </c>
      <c r="E148" s="4">
        <f ca="1">DATEDIF(Table1[[#This Row],[DOB]],Table1[[#This Row],[eventDate]],"Y")</f>
        <v>87</v>
      </c>
      <c r="F148" s="4" t="str">
        <f t="shared" si="10"/>
        <v>Man</v>
      </c>
      <c r="G148" s="4">
        <f ca="1">_xlfn.DAYS(TODAY(),Table1[[#This Row],[eventDate]])</f>
        <v>3022</v>
      </c>
      <c r="H148" t="s">
        <v>32</v>
      </c>
      <c r="I148" t="s">
        <v>34</v>
      </c>
      <c r="J148" t="s">
        <v>29</v>
      </c>
      <c r="K148" s="1">
        <v>43118</v>
      </c>
      <c r="L148">
        <f t="shared" si="11"/>
        <v>27</v>
      </c>
      <c r="M148">
        <f>IF(Table1[[#This Row],[Alive]]="No",Table1[[#This Row],[daysDeath]],Table1[[#This Row],[daysSince]])</f>
        <v>27</v>
      </c>
      <c r="N148">
        <v>122</v>
      </c>
      <c r="O148">
        <v>17.100000000000001</v>
      </c>
      <c r="P148">
        <v>272</v>
      </c>
      <c r="Q148">
        <v>16</v>
      </c>
      <c r="R148">
        <v>5.7</v>
      </c>
      <c r="S148">
        <v>59</v>
      </c>
      <c r="T148">
        <v>157</v>
      </c>
      <c r="U148">
        <v>22</v>
      </c>
      <c r="V148">
        <v>118</v>
      </c>
      <c r="W148">
        <v>87</v>
      </c>
      <c r="X148" t="s">
        <v>33</v>
      </c>
      <c r="Y148" t="s">
        <v>31</v>
      </c>
      <c r="Z148" t="s">
        <v>29</v>
      </c>
    </row>
    <row r="149" spans="1:26" ht="30" customHeight="1">
      <c r="A149">
        <v>1006636390</v>
      </c>
      <c r="B149">
        <f>COUNTIF(A:A,A149)</f>
        <v>1</v>
      </c>
      <c r="C149" s="1">
        <f t="shared" ca="1" si="9"/>
        <v>23172</v>
      </c>
      <c r="D149" s="1">
        <v>43094</v>
      </c>
      <c r="E149" s="4">
        <f ca="1">DATEDIF(Table1[[#This Row],[DOB]],Table1[[#This Row],[eventDate]],"Y")</f>
        <v>54</v>
      </c>
      <c r="F149" s="4" t="str">
        <f t="shared" si="10"/>
        <v>Man</v>
      </c>
      <c r="G149" s="4">
        <f ca="1">_xlfn.DAYS(TODAY(),Table1[[#This Row],[eventDate]])</f>
        <v>3019</v>
      </c>
      <c r="H149" t="s">
        <v>32</v>
      </c>
      <c r="I149" t="s">
        <v>28</v>
      </c>
      <c r="J149" t="s">
        <v>29</v>
      </c>
      <c r="K149" s="1">
        <v>45159</v>
      </c>
      <c r="L149">
        <f t="shared" si="11"/>
        <v>2065</v>
      </c>
      <c r="M149">
        <f>IF(Table1[[#This Row],[Alive]]="No",Table1[[#This Row],[daysDeath]],Table1[[#This Row],[daysSince]])</f>
        <v>2065</v>
      </c>
      <c r="N149">
        <v>114</v>
      </c>
      <c r="O149">
        <v>43.3</v>
      </c>
      <c r="P149">
        <v>142</v>
      </c>
      <c r="Q149">
        <v>19</v>
      </c>
      <c r="R149">
        <v>9.1</v>
      </c>
      <c r="S149">
        <v>665</v>
      </c>
      <c r="T149">
        <v>55</v>
      </c>
      <c r="U149">
        <v>24</v>
      </c>
      <c r="V149">
        <v>320</v>
      </c>
      <c r="W149">
        <v>122</v>
      </c>
      <c r="X149" t="s">
        <v>33</v>
      </c>
      <c r="Y149" t="s">
        <v>31</v>
      </c>
      <c r="Z149" t="s">
        <v>29</v>
      </c>
    </row>
    <row r="150" spans="1:26" ht="30" customHeight="1">
      <c r="A150">
        <v>2705566473</v>
      </c>
      <c r="B150">
        <f>COUNTIF(A:A,A150)</f>
        <v>1</v>
      </c>
      <c r="C150" s="1">
        <f t="shared" ca="1" si="9"/>
        <v>20602</v>
      </c>
      <c r="D150" s="1">
        <v>43097</v>
      </c>
      <c r="E150" s="4">
        <f ca="1">DATEDIF(Table1[[#This Row],[DOB]],Table1[[#This Row],[eventDate]],"Y")</f>
        <v>61</v>
      </c>
      <c r="F150" s="4" t="str">
        <f t="shared" si="10"/>
        <v>Man</v>
      </c>
      <c r="G150" s="4">
        <f ca="1">_xlfn.DAYS(TODAY(),Table1[[#This Row],[eventDate]])</f>
        <v>3016</v>
      </c>
      <c r="H150" t="s">
        <v>32</v>
      </c>
      <c r="I150" t="s">
        <v>28</v>
      </c>
      <c r="J150" t="s">
        <v>29</v>
      </c>
      <c r="K150" s="1">
        <v>43191</v>
      </c>
      <c r="L150">
        <f t="shared" si="11"/>
        <v>94</v>
      </c>
      <c r="M150">
        <f>IF(Table1[[#This Row],[Alive]]="No",Table1[[#This Row],[daysDeath]],Table1[[#This Row],[daysSince]])</f>
        <v>94</v>
      </c>
      <c r="N150">
        <v>98</v>
      </c>
      <c r="O150">
        <v>9.6</v>
      </c>
      <c r="P150">
        <v>268</v>
      </c>
      <c r="Q150">
        <v>11</v>
      </c>
      <c r="R150">
        <v>5.2</v>
      </c>
      <c r="S150">
        <v>55</v>
      </c>
      <c r="T150">
        <v>230</v>
      </c>
      <c r="U150">
        <v>19</v>
      </c>
      <c r="V150">
        <v>14</v>
      </c>
      <c r="W150">
        <v>43</v>
      </c>
      <c r="X150" t="s">
        <v>30</v>
      </c>
      <c r="Y150" t="s">
        <v>31</v>
      </c>
      <c r="Z150" t="s">
        <v>29</v>
      </c>
    </row>
    <row r="151" spans="1:26" ht="30" customHeight="1">
      <c r="A151">
        <v>2608553044</v>
      </c>
      <c r="B151">
        <f>COUNTIF(A:A,A151)</f>
        <v>1</v>
      </c>
      <c r="C151" s="1">
        <f t="shared" ca="1" si="9"/>
        <v>20327</v>
      </c>
      <c r="D151" s="1">
        <v>43097</v>
      </c>
      <c r="E151" s="4">
        <f ca="1">DATEDIF(Table1[[#This Row],[DOB]],Table1[[#This Row],[eventDate]],"Y")</f>
        <v>62</v>
      </c>
      <c r="F151" s="4" t="str">
        <f t="shared" si="10"/>
        <v>Woman</v>
      </c>
      <c r="G151" s="4">
        <f ca="1">_xlfn.DAYS(TODAY(),Table1[[#This Row],[eventDate]])</f>
        <v>3016</v>
      </c>
      <c r="H151" t="s">
        <v>32</v>
      </c>
      <c r="I151" t="s">
        <v>28</v>
      </c>
      <c r="J151" t="s">
        <v>29</v>
      </c>
      <c r="K151" s="1">
        <v>43121</v>
      </c>
      <c r="L151">
        <f t="shared" si="11"/>
        <v>24</v>
      </c>
      <c r="M151">
        <f>IF(Table1[[#This Row],[Alive]]="No",Table1[[#This Row],[daysDeath]],Table1[[#This Row],[daysSince]])</f>
        <v>24</v>
      </c>
      <c r="N151">
        <v>102</v>
      </c>
      <c r="O151">
        <v>10.5</v>
      </c>
      <c r="P151">
        <v>213</v>
      </c>
      <c r="Q151">
        <v>15</v>
      </c>
      <c r="R151">
        <v>4.4000000000000004</v>
      </c>
      <c r="S151">
        <v>61</v>
      </c>
      <c r="T151">
        <v>439</v>
      </c>
      <c r="U151">
        <v>22</v>
      </c>
      <c r="V151">
        <v>101</v>
      </c>
      <c r="W151">
        <v>77</v>
      </c>
      <c r="X151" t="s">
        <v>30</v>
      </c>
      <c r="Y151" t="s">
        <v>29</v>
      </c>
      <c r="Z151" t="s">
        <v>29</v>
      </c>
    </row>
    <row r="152" spans="1:26" ht="30" customHeight="1">
      <c r="A152">
        <v>2703476124</v>
      </c>
      <c r="B152">
        <f>COUNTIF(A:A,A152)</f>
        <v>1</v>
      </c>
      <c r="C152" s="1">
        <f t="shared" ca="1" si="9"/>
        <v>17253</v>
      </c>
      <c r="D152" s="1">
        <v>43116</v>
      </c>
      <c r="E152" s="4">
        <f ca="1">DATEDIF(Table1[[#This Row],[DOB]],Table1[[#This Row],[eventDate]],"Y")</f>
        <v>70</v>
      </c>
      <c r="F152" s="4" t="str">
        <f t="shared" si="10"/>
        <v>Woman</v>
      </c>
      <c r="G152" s="4">
        <f ca="1">_xlfn.DAYS(TODAY(),Table1[[#This Row],[eventDate]])</f>
        <v>2997</v>
      </c>
      <c r="H152" t="s">
        <v>32</v>
      </c>
      <c r="I152" t="s">
        <v>28</v>
      </c>
      <c r="J152" t="s">
        <v>29</v>
      </c>
      <c r="K152" s="1">
        <v>43158</v>
      </c>
      <c r="L152">
        <f t="shared" si="11"/>
        <v>42</v>
      </c>
      <c r="M152">
        <f>IF(Table1[[#This Row],[Alive]]="No",Table1[[#This Row],[daysDeath]],Table1[[#This Row],[daysSince]])</f>
        <v>42</v>
      </c>
      <c r="N152">
        <v>103</v>
      </c>
      <c r="O152">
        <v>6</v>
      </c>
      <c r="P152">
        <v>120</v>
      </c>
      <c r="Q152">
        <v>13</v>
      </c>
      <c r="R152">
        <v>4</v>
      </c>
      <c r="S152">
        <v>46</v>
      </c>
      <c r="T152">
        <v>202</v>
      </c>
      <c r="U152">
        <v>25</v>
      </c>
      <c r="V152">
        <v>9</v>
      </c>
      <c r="W152">
        <v>65.8</v>
      </c>
      <c r="X152" t="s">
        <v>30</v>
      </c>
      <c r="Y152" t="s">
        <v>29</v>
      </c>
      <c r="Z152" t="s">
        <v>29</v>
      </c>
    </row>
    <row r="153" spans="1:26" ht="30" customHeight="1">
      <c r="A153">
        <v>1709812168</v>
      </c>
      <c r="B153">
        <f>COUNTIF(A:A,A153)</f>
        <v>1</v>
      </c>
      <c r="C153" s="1">
        <f t="shared" ref="C153:C191" ca="1" si="12">DATE(
    IF(VALUE(MID(TEXT(A153,"0000000000"),5,2)) &gt; VALUE(TEXT(TODAY(),"YY")),
       1900 + VALUE(MID(TEXT(A153,"0000000000"),5,2)),
       2000 + VALUE(MID(TEXT(A153,"0000000000"),5,2))
    ),
    VALUE(MID(TEXT(A153,"0000000000"),3,2)),
    VALUE(LEFT(TEXT(A153,"0000000000"),2))
)</f>
        <v>29846</v>
      </c>
      <c r="D153" s="1">
        <v>43118</v>
      </c>
      <c r="E153" s="4">
        <f ca="1">DATEDIF(Table1[[#This Row],[DOB]],Table1[[#This Row],[eventDate]],"Y")</f>
        <v>36</v>
      </c>
      <c r="F153" s="4" t="str">
        <f t="shared" ref="F153:F191" si="13">IF(MOD(VALUE(MID(TEXT(A153,"0000000000"),9,1)),2)=0,"Woman","Man")</f>
        <v>Woman</v>
      </c>
      <c r="G153" s="4">
        <f ca="1">_xlfn.DAYS(TODAY(),Table1[[#This Row],[eventDate]])</f>
        <v>2995</v>
      </c>
      <c r="H153" t="s">
        <v>32</v>
      </c>
      <c r="I153" t="s">
        <v>34</v>
      </c>
      <c r="J153" t="s">
        <v>29</v>
      </c>
      <c r="K153" s="1">
        <v>43195</v>
      </c>
      <c r="L153">
        <f t="shared" ref="L153:L191" si="14">IF(J153="No",_xlfn.DAYS(K153,D153),"")</f>
        <v>77</v>
      </c>
      <c r="M153">
        <f>IF(Table1[[#This Row],[Alive]]="No",Table1[[#This Row],[daysDeath]],Table1[[#This Row],[daysSince]])</f>
        <v>77</v>
      </c>
      <c r="N153">
        <v>109</v>
      </c>
      <c r="O153">
        <v>17.3</v>
      </c>
      <c r="P153">
        <v>1069</v>
      </c>
      <c r="Q153">
        <v>14</v>
      </c>
      <c r="R153">
        <v>2.7</v>
      </c>
      <c r="S153">
        <v>54</v>
      </c>
      <c r="T153">
        <v>412</v>
      </c>
      <c r="U153">
        <v>31</v>
      </c>
      <c r="V153">
        <v>4</v>
      </c>
      <c r="W153">
        <v>59</v>
      </c>
      <c r="X153" t="s">
        <v>30</v>
      </c>
      <c r="Y153" t="s">
        <v>29</v>
      </c>
      <c r="Z153" t="s">
        <v>29</v>
      </c>
    </row>
    <row r="154" spans="1:26" ht="30" customHeight="1">
      <c r="A154">
        <v>2805535391</v>
      </c>
      <c r="B154">
        <f>COUNTIF(A:A,A154)</f>
        <v>1</v>
      </c>
      <c r="C154" s="1">
        <f t="shared" ca="1" si="12"/>
        <v>19507</v>
      </c>
      <c r="D154" s="1">
        <v>43137</v>
      </c>
      <c r="E154" s="4">
        <f ca="1">DATEDIF(Table1[[#This Row],[DOB]],Table1[[#This Row],[eventDate]],"Y")</f>
        <v>64</v>
      </c>
      <c r="F154" s="4" t="str">
        <f t="shared" si="13"/>
        <v>Man</v>
      </c>
      <c r="G154" s="4">
        <f ca="1">_xlfn.DAYS(TODAY(),Table1[[#This Row],[eventDate]])</f>
        <v>2976</v>
      </c>
      <c r="H154" t="s">
        <v>32</v>
      </c>
      <c r="I154" t="s">
        <v>34</v>
      </c>
      <c r="J154" t="s">
        <v>29</v>
      </c>
      <c r="K154" s="1">
        <v>45532</v>
      </c>
      <c r="L154">
        <f t="shared" si="14"/>
        <v>2395</v>
      </c>
      <c r="M154">
        <f>IF(Table1[[#This Row],[Alive]]="No",Table1[[#This Row],[daysDeath]],Table1[[#This Row],[daysSince]])</f>
        <v>2395</v>
      </c>
      <c r="N154">
        <v>132</v>
      </c>
      <c r="O154">
        <v>10.5</v>
      </c>
      <c r="P154">
        <v>268</v>
      </c>
      <c r="Q154">
        <v>15</v>
      </c>
      <c r="R154">
        <v>7.9</v>
      </c>
      <c r="S154">
        <v>82</v>
      </c>
      <c r="T154">
        <v>46</v>
      </c>
      <c r="U154">
        <v>25</v>
      </c>
      <c r="V154">
        <v>249</v>
      </c>
      <c r="X154" t="s">
        <v>33</v>
      </c>
      <c r="Y154" t="s">
        <v>31</v>
      </c>
      <c r="Z154" t="s">
        <v>29</v>
      </c>
    </row>
    <row r="155" spans="1:26" ht="30" customHeight="1">
      <c r="A155">
        <v>110493184</v>
      </c>
      <c r="B155">
        <f>COUNTIF(A:A,A155)</f>
        <v>1</v>
      </c>
      <c r="C155" s="1">
        <f t="shared" ca="1" si="12"/>
        <v>18172</v>
      </c>
      <c r="D155" s="1">
        <v>43137</v>
      </c>
      <c r="E155" s="4">
        <f ca="1">DATEDIF(Table1[[#This Row],[DOB]],Table1[[#This Row],[eventDate]],"Y")</f>
        <v>68</v>
      </c>
      <c r="F155" s="4" t="str">
        <f t="shared" si="13"/>
        <v>Woman</v>
      </c>
      <c r="G155" s="4">
        <f ca="1">_xlfn.DAYS(TODAY(),Table1[[#This Row],[eventDate]])</f>
        <v>2976</v>
      </c>
      <c r="H155" t="s">
        <v>27</v>
      </c>
      <c r="I155" t="s">
        <v>28</v>
      </c>
      <c r="J155" t="s">
        <v>31</v>
      </c>
      <c r="L155" t="str">
        <f t="shared" si="14"/>
        <v/>
      </c>
      <c r="M155">
        <f ca="1">IF(Table1[[#This Row],[Alive]]="No",Table1[[#This Row],[daysDeath]],Table1[[#This Row],[daysSince]])</f>
        <v>2976</v>
      </c>
      <c r="N155">
        <v>107</v>
      </c>
      <c r="O155">
        <v>3.8</v>
      </c>
      <c r="P155">
        <v>227</v>
      </c>
      <c r="Q155">
        <v>13</v>
      </c>
      <c r="R155">
        <v>3.1</v>
      </c>
      <c r="S155">
        <v>42</v>
      </c>
      <c r="T155">
        <v>30</v>
      </c>
      <c r="U155">
        <v>35</v>
      </c>
      <c r="V155">
        <v>24</v>
      </c>
      <c r="W155">
        <v>62.5</v>
      </c>
      <c r="X155" t="s">
        <v>33</v>
      </c>
      <c r="Y155" t="s">
        <v>29</v>
      </c>
      <c r="Z155" t="s">
        <v>29</v>
      </c>
    </row>
    <row r="156" spans="1:26" ht="30" customHeight="1">
      <c r="A156">
        <v>1310466289</v>
      </c>
      <c r="B156">
        <f>COUNTIF(A:A,A156)</f>
        <v>1</v>
      </c>
      <c r="C156" s="1">
        <f t="shared" ca="1" si="12"/>
        <v>17088</v>
      </c>
      <c r="D156" s="1">
        <v>43138</v>
      </c>
      <c r="E156" s="4">
        <f ca="1">DATEDIF(Table1[[#This Row],[DOB]],Table1[[#This Row],[eventDate]],"Y")</f>
        <v>71</v>
      </c>
      <c r="F156" s="4" t="str">
        <f t="shared" si="13"/>
        <v>Woman</v>
      </c>
      <c r="G156" s="4">
        <f ca="1">_xlfn.DAYS(TODAY(),Table1[[#This Row],[eventDate]])</f>
        <v>2975</v>
      </c>
      <c r="H156" t="s">
        <v>32</v>
      </c>
      <c r="I156" t="s">
        <v>34</v>
      </c>
      <c r="J156" t="s">
        <v>29</v>
      </c>
      <c r="K156" s="1">
        <v>43405</v>
      </c>
      <c r="L156">
        <f t="shared" si="14"/>
        <v>267</v>
      </c>
      <c r="M156">
        <f>IF(Table1[[#This Row],[Alive]]="No",Table1[[#This Row],[daysDeath]],Table1[[#This Row],[daysSince]])</f>
        <v>267</v>
      </c>
      <c r="N156">
        <v>123</v>
      </c>
      <c r="O156">
        <v>12.1</v>
      </c>
      <c r="P156">
        <v>391</v>
      </c>
      <c r="Q156">
        <v>11</v>
      </c>
      <c r="R156">
        <v>4.5</v>
      </c>
      <c r="S156">
        <v>67</v>
      </c>
      <c r="T156">
        <v>541</v>
      </c>
      <c r="U156">
        <v>25</v>
      </c>
      <c r="V156">
        <v>72</v>
      </c>
      <c r="X156" t="s">
        <v>30</v>
      </c>
      <c r="Y156" t="s">
        <v>29</v>
      </c>
      <c r="Z156" t="s">
        <v>29</v>
      </c>
    </row>
    <row r="157" spans="1:26" ht="30" customHeight="1">
      <c r="A157">
        <v>703565044</v>
      </c>
      <c r="B157">
        <f>COUNTIF(A:A,A157)</f>
        <v>1</v>
      </c>
      <c r="C157" s="1">
        <f t="shared" ca="1" si="12"/>
        <v>20521</v>
      </c>
      <c r="D157" s="1">
        <v>43139</v>
      </c>
      <c r="E157" s="4">
        <f ca="1">DATEDIF(Table1[[#This Row],[DOB]],Table1[[#This Row],[eventDate]],"Y")</f>
        <v>61</v>
      </c>
      <c r="F157" s="4" t="str">
        <f t="shared" si="13"/>
        <v>Woman</v>
      </c>
      <c r="G157" s="4">
        <f ca="1">_xlfn.DAYS(TODAY(),Table1[[#This Row],[eventDate]])</f>
        <v>2974</v>
      </c>
      <c r="H157" t="s">
        <v>32</v>
      </c>
      <c r="I157" t="s">
        <v>28</v>
      </c>
      <c r="J157" t="s">
        <v>29</v>
      </c>
      <c r="K157" s="1">
        <v>43157</v>
      </c>
      <c r="L157">
        <f t="shared" si="14"/>
        <v>18</v>
      </c>
      <c r="M157">
        <f>IF(Table1[[#This Row],[Alive]]="No",Table1[[#This Row],[daysDeath]],Table1[[#This Row],[daysSince]])</f>
        <v>18</v>
      </c>
      <c r="N157">
        <v>87</v>
      </c>
      <c r="O157">
        <v>8.3000000000000007</v>
      </c>
      <c r="P157">
        <v>446</v>
      </c>
      <c r="Q157">
        <v>11</v>
      </c>
      <c r="R157">
        <v>4.2</v>
      </c>
      <c r="S157">
        <v>65</v>
      </c>
      <c r="T157">
        <v>199</v>
      </c>
      <c r="U157">
        <v>20</v>
      </c>
      <c r="V157">
        <v>80</v>
      </c>
      <c r="W157">
        <v>65.2</v>
      </c>
      <c r="X157" t="s">
        <v>30</v>
      </c>
      <c r="Y157" t="s">
        <v>29</v>
      </c>
      <c r="Z157" t="s">
        <v>31</v>
      </c>
    </row>
    <row r="158" spans="1:26" ht="30" customHeight="1">
      <c r="A158">
        <v>1206553014</v>
      </c>
      <c r="B158">
        <f>COUNTIF(A:A,A158)</f>
        <v>1</v>
      </c>
      <c r="C158" s="1">
        <f t="shared" ca="1" si="12"/>
        <v>20252</v>
      </c>
      <c r="D158" s="1">
        <v>43143</v>
      </c>
      <c r="E158" s="4">
        <f ca="1">DATEDIF(Table1[[#This Row],[DOB]],Table1[[#This Row],[eventDate]],"Y")</f>
        <v>62</v>
      </c>
      <c r="F158" s="4" t="str">
        <f t="shared" si="13"/>
        <v>Man</v>
      </c>
      <c r="G158" s="4">
        <f ca="1">_xlfn.DAYS(TODAY(),Table1[[#This Row],[eventDate]])</f>
        <v>2970</v>
      </c>
      <c r="H158" t="s">
        <v>32</v>
      </c>
      <c r="I158" t="s">
        <v>28</v>
      </c>
      <c r="J158" t="s">
        <v>29</v>
      </c>
      <c r="K158" s="1">
        <v>43280</v>
      </c>
      <c r="L158">
        <f t="shared" si="14"/>
        <v>137</v>
      </c>
      <c r="M158">
        <f>IF(Table1[[#This Row],[Alive]]="No",Table1[[#This Row],[daysDeath]],Table1[[#This Row],[daysSince]])</f>
        <v>137</v>
      </c>
      <c r="N158">
        <v>100</v>
      </c>
      <c r="O158">
        <v>10.8</v>
      </c>
      <c r="P158">
        <v>376</v>
      </c>
      <c r="Q158">
        <v>12</v>
      </c>
      <c r="R158">
        <v>2.7</v>
      </c>
      <c r="S158">
        <v>87</v>
      </c>
      <c r="T158">
        <v>197</v>
      </c>
      <c r="U158">
        <v>16</v>
      </c>
      <c r="V158">
        <v>89</v>
      </c>
      <c r="W158">
        <v>100</v>
      </c>
      <c r="X158" t="s">
        <v>33</v>
      </c>
      <c r="Y158" t="s">
        <v>31</v>
      </c>
      <c r="Z158" t="s">
        <v>29</v>
      </c>
    </row>
    <row r="159" spans="1:26" ht="30" customHeight="1">
      <c r="A159">
        <v>708486533</v>
      </c>
      <c r="B159">
        <f>COUNTIF(A:A,A159)</f>
        <v>1</v>
      </c>
      <c r="C159" s="1">
        <f t="shared" ca="1" si="12"/>
        <v>17752</v>
      </c>
      <c r="D159" s="1">
        <v>43147</v>
      </c>
      <c r="E159" s="4">
        <f ca="1">DATEDIF(Table1[[#This Row],[DOB]],Table1[[#This Row],[eventDate]],"Y")</f>
        <v>69</v>
      </c>
      <c r="F159" s="4" t="str">
        <f t="shared" si="13"/>
        <v>Man</v>
      </c>
      <c r="G159" s="4">
        <f ca="1">_xlfn.DAYS(TODAY(),Table1[[#This Row],[eventDate]])</f>
        <v>2966</v>
      </c>
      <c r="H159" t="s">
        <v>36</v>
      </c>
      <c r="I159" t="s">
        <v>34</v>
      </c>
      <c r="J159" t="s">
        <v>29</v>
      </c>
      <c r="K159" s="1">
        <v>43153</v>
      </c>
      <c r="L159">
        <f t="shared" si="14"/>
        <v>6</v>
      </c>
      <c r="M159">
        <f>IF(Table1[[#This Row],[Alive]]="No",Table1[[#This Row],[daysDeath]],Table1[[#This Row],[daysSince]])</f>
        <v>6</v>
      </c>
      <c r="N159">
        <v>113</v>
      </c>
      <c r="O159">
        <v>14</v>
      </c>
      <c r="P159">
        <v>406</v>
      </c>
      <c r="Q159">
        <v>14</v>
      </c>
      <c r="R159">
        <v>20</v>
      </c>
      <c r="S159">
        <v>82</v>
      </c>
      <c r="T159">
        <v>696</v>
      </c>
      <c r="U159">
        <v>24</v>
      </c>
      <c r="V159">
        <v>28</v>
      </c>
      <c r="W159">
        <v>50</v>
      </c>
      <c r="X159" t="s">
        <v>30</v>
      </c>
      <c r="Y159" t="s">
        <v>31</v>
      </c>
      <c r="Z159" t="s">
        <v>31</v>
      </c>
    </row>
    <row r="160" spans="1:26" ht="30" customHeight="1">
      <c r="A160">
        <v>1410403130</v>
      </c>
      <c r="B160">
        <f>COUNTIF(A:A,A160)</f>
        <v>1</v>
      </c>
      <c r="C160" s="1">
        <f t="shared" ca="1" si="12"/>
        <v>14898</v>
      </c>
      <c r="D160" s="1">
        <v>43153</v>
      </c>
      <c r="E160" s="4">
        <f ca="1">DATEDIF(Table1[[#This Row],[DOB]],Table1[[#This Row],[eventDate]],"Y")</f>
        <v>77</v>
      </c>
      <c r="F160" s="4" t="str">
        <f t="shared" si="13"/>
        <v>Man</v>
      </c>
      <c r="G160" s="4">
        <f ca="1">_xlfn.DAYS(TODAY(),Table1[[#This Row],[eventDate]])</f>
        <v>2960</v>
      </c>
      <c r="H160" t="s">
        <v>32</v>
      </c>
      <c r="I160" t="s">
        <v>28</v>
      </c>
      <c r="J160" t="s">
        <v>31</v>
      </c>
      <c r="L160" t="str">
        <f t="shared" si="14"/>
        <v/>
      </c>
      <c r="M160">
        <f ca="1">IF(Table1[[#This Row],[Alive]]="No",Table1[[#This Row],[daysDeath]],Table1[[#This Row],[daysSince]])</f>
        <v>2960</v>
      </c>
      <c r="N160">
        <v>139</v>
      </c>
      <c r="O160">
        <v>7.6</v>
      </c>
      <c r="P160">
        <v>233</v>
      </c>
      <c r="Q160">
        <v>11</v>
      </c>
      <c r="R160">
        <v>5</v>
      </c>
      <c r="S160">
        <v>69</v>
      </c>
      <c r="T160">
        <v>11</v>
      </c>
      <c r="U160">
        <v>40</v>
      </c>
      <c r="V160">
        <v>22</v>
      </c>
      <c r="W160">
        <v>63.5</v>
      </c>
      <c r="X160" t="s">
        <v>33</v>
      </c>
      <c r="Y160" t="s">
        <v>29</v>
      </c>
      <c r="Z160" t="s">
        <v>29</v>
      </c>
    </row>
    <row r="161" spans="1:26" ht="30" customHeight="1">
      <c r="A161">
        <v>2002533148</v>
      </c>
      <c r="B161">
        <f>COUNTIF(A:A,A161)</f>
        <v>1</v>
      </c>
      <c r="C161" s="1">
        <f t="shared" ca="1" si="12"/>
        <v>19410</v>
      </c>
      <c r="D161" s="1">
        <v>43164</v>
      </c>
      <c r="E161" s="4">
        <f ca="1">DATEDIF(Table1[[#This Row],[DOB]],Table1[[#This Row],[eventDate]],"Y")</f>
        <v>65</v>
      </c>
      <c r="F161" s="4" t="str">
        <f t="shared" si="13"/>
        <v>Woman</v>
      </c>
      <c r="G161" s="4">
        <f ca="1">_xlfn.DAYS(TODAY(),Table1[[#This Row],[eventDate]])</f>
        <v>2949</v>
      </c>
      <c r="H161" t="s">
        <v>32</v>
      </c>
      <c r="I161" t="s">
        <v>34</v>
      </c>
      <c r="J161" t="s">
        <v>29</v>
      </c>
      <c r="K161" s="1">
        <v>43595</v>
      </c>
      <c r="L161">
        <f t="shared" si="14"/>
        <v>431</v>
      </c>
      <c r="M161">
        <f>IF(Table1[[#This Row],[Alive]]="No",Table1[[#This Row],[daysDeath]],Table1[[#This Row],[daysSince]])</f>
        <v>431</v>
      </c>
      <c r="N161">
        <v>128</v>
      </c>
      <c r="O161">
        <v>10.4</v>
      </c>
      <c r="P161">
        <v>248</v>
      </c>
      <c r="Q161">
        <v>11</v>
      </c>
      <c r="R161">
        <v>3.5</v>
      </c>
      <c r="S161">
        <v>56</v>
      </c>
      <c r="T161">
        <v>422</v>
      </c>
      <c r="U161">
        <v>18</v>
      </c>
      <c r="V161">
        <v>42</v>
      </c>
      <c r="W161">
        <v>67</v>
      </c>
      <c r="X161" t="s">
        <v>30</v>
      </c>
      <c r="Y161" t="s">
        <v>29</v>
      </c>
      <c r="Z161" t="s">
        <v>29</v>
      </c>
    </row>
    <row r="162" spans="1:26" ht="30" customHeight="1">
      <c r="A162">
        <v>1505696550</v>
      </c>
      <c r="B162">
        <f>COUNTIF(A:A,A162)</f>
        <v>1</v>
      </c>
      <c r="C162" s="1">
        <f t="shared" ca="1" si="12"/>
        <v>25338</v>
      </c>
      <c r="D162" s="1">
        <v>43172</v>
      </c>
      <c r="E162" s="4">
        <f ca="1">DATEDIF(Table1[[#This Row],[DOB]],Table1[[#This Row],[eventDate]],"Y")</f>
        <v>48</v>
      </c>
      <c r="F162" s="4" t="str">
        <f t="shared" si="13"/>
        <v>Man</v>
      </c>
      <c r="G162" s="4">
        <f ca="1">_xlfn.DAYS(TODAY(),Table1[[#This Row],[eventDate]])</f>
        <v>2941</v>
      </c>
      <c r="H162" t="s">
        <v>32</v>
      </c>
      <c r="I162" t="s">
        <v>28</v>
      </c>
      <c r="J162" t="s">
        <v>29</v>
      </c>
      <c r="K162" s="1">
        <v>43176</v>
      </c>
      <c r="L162">
        <f>IF(J162="No",_xlfn.DAYS(K162,D162),"")</f>
        <v>4</v>
      </c>
      <c r="M162">
        <f>IF(Table1[[#This Row],[Alive]]="No",Table1[[#This Row],[daysDeath]],Table1[[#This Row],[daysSince]])</f>
        <v>4</v>
      </c>
      <c r="N162">
        <v>77</v>
      </c>
      <c r="O162">
        <v>17.600000000000001</v>
      </c>
      <c r="P162">
        <v>26</v>
      </c>
      <c r="Q162">
        <v>33</v>
      </c>
      <c r="R162">
        <v>2.8</v>
      </c>
      <c r="S162">
        <v>55</v>
      </c>
      <c r="T162">
        <v>95</v>
      </c>
      <c r="U162">
        <v>12</v>
      </c>
      <c r="V162">
        <v>96</v>
      </c>
      <c r="W162">
        <v>48</v>
      </c>
      <c r="X162" t="s">
        <v>30</v>
      </c>
      <c r="Y162" t="s">
        <v>29</v>
      </c>
      <c r="Z162" t="s">
        <v>31</v>
      </c>
    </row>
    <row r="163" spans="1:26" ht="30" customHeight="1">
      <c r="A163">
        <v>112366112</v>
      </c>
      <c r="B163">
        <f>COUNTIF(A:A,A163)</f>
        <v>1</v>
      </c>
      <c r="C163" s="1">
        <f t="shared" ca="1" si="12"/>
        <v>13485</v>
      </c>
      <c r="D163" s="1">
        <v>43188</v>
      </c>
      <c r="E163" s="4">
        <f ca="1">DATEDIF(Table1[[#This Row],[DOB]],Table1[[#This Row],[eventDate]],"Y")</f>
        <v>81</v>
      </c>
      <c r="F163" s="4" t="str">
        <f t="shared" si="13"/>
        <v>Man</v>
      </c>
      <c r="G163" s="4">
        <f ca="1">_xlfn.DAYS(TODAY(),Table1[[#This Row],[eventDate]])</f>
        <v>2925</v>
      </c>
      <c r="H163" t="s">
        <v>36</v>
      </c>
      <c r="I163" t="s">
        <v>34</v>
      </c>
      <c r="J163" t="s">
        <v>29</v>
      </c>
      <c r="K163" s="1">
        <v>43673</v>
      </c>
      <c r="L163">
        <f t="shared" si="14"/>
        <v>485</v>
      </c>
      <c r="M163">
        <f>IF(Table1[[#This Row],[Alive]]="No",Table1[[#This Row],[daysDeath]],Table1[[#This Row],[daysSince]])</f>
        <v>485</v>
      </c>
      <c r="N163">
        <v>145</v>
      </c>
      <c r="O163">
        <v>5.6</v>
      </c>
      <c r="P163">
        <v>194</v>
      </c>
      <c r="Q163">
        <v>11</v>
      </c>
      <c r="R163">
        <v>4.5</v>
      </c>
      <c r="S163">
        <v>67</v>
      </c>
      <c r="T163">
        <v>88</v>
      </c>
      <c r="U163">
        <v>32</v>
      </c>
      <c r="V163">
        <v>7</v>
      </c>
      <c r="X163" t="s">
        <v>30</v>
      </c>
      <c r="Y163" t="s">
        <v>29</v>
      </c>
      <c r="Z163" t="s">
        <v>29</v>
      </c>
    </row>
    <row r="164" spans="1:26" ht="30" customHeight="1">
      <c r="A164">
        <v>2812496460</v>
      </c>
      <c r="B164">
        <f>COUNTIF(A:A,A164)</f>
        <v>1</v>
      </c>
      <c r="C164" s="1">
        <f t="shared" ca="1" si="12"/>
        <v>18260</v>
      </c>
      <c r="D164" s="1">
        <v>43188</v>
      </c>
      <c r="E164" s="4">
        <f ca="1">DATEDIF(Table1[[#This Row],[DOB]],Table1[[#This Row],[eventDate]],"Y")</f>
        <v>68</v>
      </c>
      <c r="F164" s="4" t="str">
        <f t="shared" si="13"/>
        <v>Woman</v>
      </c>
      <c r="G164" s="4">
        <f ca="1">_xlfn.DAYS(TODAY(),Table1[[#This Row],[eventDate]])</f>
        <v>2925</v>
      </c>
      <c r="H164" t="s">
        <v>32</v>
      </c>
      <c r="I164" t="s">
        <v>28</v>
      </c>
      <c r="J164" t="s">
        <v>29</v>
      </c>
      <c r="K164" s="1">
        <v>44464</v>
      </c>
      <c r="L164">
        <f t="shared" si="14"/>
        <v>1276</v>
      </c>
      <c r="M164">
        <f>IF(Table1[[#This Row],[Alive]]="No",Table1[[#This Row],[daysDeath]],Table1[[#This Row],[daysSince]])</f>
        <v>1276</v>
      </c>
      <c r="N164">
        <v>107</v>
      </c>
      <c r="O164">
        <v>6.6</v>
      </c>
      <c r="P164">
        <v>310</v>
      </c>
      <c r="Q164">
        <v>10</v>
      </c>
      <c r="R164">
        <v>7.3</v>
      </c>
      <c r="S164">
        <v>125</v>
      </c>
      <c r="T164">
        <v>6</v>
      </c>
      <c r="U164">
        <v>32</v>
      </c>
      <c r="V164">
        <v>24</v>
      </c>
      <c r="W164">
        <v>64</v>
      </c>
      <c r="X164" t="s">
        <v>33</v>
      </c>
      <c r="Y164" t="s">
        <v>29</v>
      </c>
      <c r="Z164" t="s">
        <v>29</v>
      </c>
    </row>
    <row r="165" spans="1:26" ht="30" customHeight="1">
      <c r="A165">
        <v>2609416253</v>
      </c>
      <c r="B165">
        <f>COUNTIF(A:A,A165)</f>
        <v>1</v>
      </c>
      <c r="C165" s="1">
        <f t="shared" ca="1" si="12"/>
        <v>15245</v>
      </c>
      <c r="D165" s="1">
        <v>43188</v>
      </c>
      <c r="E165" s="4">
        <f ca="1">DATEDIF(Table1[[#This Row],[DOB]],Table1[[#This Row],[eventDate]],"Y")</f>
        <v>76</v>
      </c>
      <c r="F165" s="4" t="str">
        <f t="shared" si="13"/>
        <v>Man</v>
      </c>
      <c r="G165" s="4">
        <f ca="1">_xlfn.DAYS(TODAY(),Table1[[#This Row],[eventDate]])</f>
        <v>2925</v>
      </c>
      <c r="H165" t="s">
        <v>32</v>
      </c>
      <c r="I165" t="s">
        <v>28</v>
      </c>
      <c r="J165" t="s">
        <v>29</v>
      </c>
      <c r="K165" s="1">
        <v>43417</v>
      </c>
      <c r="L165">
        <f t="shared" si="14"/>
        <v>229</v>
      </c>
      <c r="M165">
        <f>IF(Table1[[#This Row],[Alive]]="No",Table1[[#This Row],[daysDeath]],Table1[[#This Row],[daysSince]])</f>
        <v>229</v>
      </c>
      <c r="N165">
        <v>122</v>
      </c>
      <c r="O165">
        <v>8.1999999999999993</v>
      </c>
      <c r="P165">
        <v>421</v>
      </c>
      <c r="Q165">
        <v>11</v>
      </c>
      <c r="R165">
        <v>9.6999999999999993</v>
      </c>
      <c r="S165">
        <v>111</v>
      </c>
      <c r="T165">
        <v>323</v>
      </c>
      <c r="U165">
        <v>26</v>
      </c>
      <c r="V165">
        <v>76</v>
      </c>
      <c r="W165">
        <v>75</v>
      </c>
      <c r="X165" t="s">
        <v>30</v>
      </c>
      <c r="Y165" t="s">
        <v>31</v>
      </c>
      <c r="Z165" t="s">
        <v>29</v>
      </c>
    </row>
    <row r="166" spans="1:26" ht="30" customHeight="1">
      <c r="A166">
        <v>3006416414</v>
      </c>
      <c r="B166">
        <f>COUNTIF(A:A,A166)</f>
        <v>1</v>
      </c>
      <c r="C166" s="1">
        <f t="shared" ca="1" si="12"/>
        <v>15157</v>
      </c>
      <c r="D166" s="1">
        <v>43190</v>
      </c>
      <c r="E166" s="4">
        <f ca="1">DATEDIF(Table1[[#This Row],[DOB]],Table1[[#This Row],[eventDate]],"Y")</f>
        <v>76</v>
      </c>
      <c r="F166" s="4" t="str">
        <f t="shared" si="13"/>
        <v>Man</v>
      </c>
      <c r="G166" s="4">
        <f ca="1">_xlfn.DAYS(TODAY(),Table1[[#This Row],[eventDate]])</f>
        <v>2923</v>
      </c>
      <c r="H166" t="s">
        <v>27</v>
      </c>
      <c r="I166" t="s">
        <v>34</v>
      </c>
      <c r="J166" t="s">
        <v>29</v>
      </c>
      <c r="K166" s="1">
        <v>43724</v>
      </c>
      <c r="L166">
        <f t="shared" si="14"/>
        <v>534</v>
      </c>
      <c r="M166">
        <f>IF(Table1[[#This Row],[Alive]]="No",Table1[[#This Row],[daysDeath]],Table1[[#This Row],[daysSince]])</f>
        <v>534</v>
      </c>
      <c r="N166">
        <v>96</v>
      </c>
      <c r="O166">
        <v>8.1</v>
      </c>
      <c r="P166">
        <v>303</v>
      </c>
      <c r="Q166">
        <v>13</v>
      </c>
      <c r="R166">
        <v>3.7</v>
      </c>
      <c r="S166">
        <v>44</v>
      </c>
      <c r="T166">
        <v>312</v>
      </c>
      <c r="U166">
        <v>20</v>
      </c>
      <c r="V166">
        <v>180</v>
      </c>
      <c r="X166" t="s">
        <v>30</v>
      </c>
      <c r="Y166" t="s">
        <v>31</v>
      </c>
      <c r="Z166" t="s">
        <v>29</v>
      </c>
    </row>
    <row r="167" spans="1:26" ht="30" customHeight="1">
      <c r="A167">
        <v>204523338</v>
      </c>
      <c r="B167">
        <f>COUNTIF(A:A,A167)</f>
        <v>1</v>
      </c>
      <c r="C167" s="1">
        <f t="shared" ca="1" si="12"/>
        <v>19086</v>
      </c>
      <c r="D167" s="1">
        <v>43195</v>
      </c>
      <c r="E167" s="4">
        <f ca="1">DATEDIF(Table1[[#This Row],[DOB]],Table1[[#This Row],[eventDate]],"Y")</f>
        <v>66</v>
      </c>
      <c r="F167" s="4" t="str">
        <f t="shared" si="13"/>
        <v>Man</v>
      </c>
      <c r="G167" s="4">
        <f ca="1">_xlfn.DAYS(TODAY(),Table1[[#This Row],[eventDate]])</f>
        <v>2918</v>
      </c>
      <c r="H167" t="s">
        <v>32</v>
      </c>
      <c r="I167" t="s">
        <v>34</v>
      </c>
      <c r="J167" t="s">
        <v>29</v>
      </c>
      <c r="K167" s="1">
        <v>43675</v>
      </c>
      <c r="L167">
        <f t="shared" si="14"/>
        <v>480</v>
      </c>
      <c r="M167">
        <f>IF(Table1[[#This Row],[Alive]]="No",Table1[[#This Row],[daysDeath]],Table1[[#This Row],[daysSince]])</f>
        <v>480</v>
      </c>
      <c r="N167">
        <v>98</v>
      </c>
      <c r="O167">
        <v>3.7</v>
      </c>
      <c r="P167">
        <v>155</v>
      </c>
      <c r="Q167">
        <v>10</v>
      </c>
      <c r="R167">
        <v>3.7</v>
      </c>
      <c r="S167">
        <v>51</v>
      </c>
      <c r="T167">
        <v>74</v>
      </c>
      <c r="U167">
        <v>24</v>
      </c>
      <c r="V167">
        <v>31</v>
      </c>
      <c r="W167">
        <v>53</v>
      </c>
      <c r="X167" t="s">
        <v>33</v>
      </c>
      <c r="Y167" t="s">
        <v>29</v>
      </c>
      <c r="Z167" t="s">
        <v>29</v>
      </c>
    </row>
    <row r="168" spans="1:26" ht="30" customHeight="1">
      <c r="A168">
        <v>601326121</v>
      </c>
      <c r="B168">
        <f>COUNTIF(A:A,A168)</f>
        <v>1</v>
      </c>
      <c r="C168" s="1">
        <f t="shared" ca="1" si="12"/>
        <v>11694</v>
      </c>
      <c r="D168" s="1">
        <v>43207</v>
      </c>
      <c r="E168" s="4">
        <f ca="1">DATEDIF(Table1[[#This Row],[DOB]],Table1[[#This Row],[eventDate]],"Y")</f>
        <v>86</v>
      </c>
      <c r="F168" s="4" t="str">
        <f t="shared" si="13"/>
        <v>Woman</v>
      </c>
      <c r="G168" s="4">
        <f ca="1">_xlfn.DAYS(TODAY(),Table1[[#This Row],[eventDate]])</f>
        <v>2906</v>
      </c>
      <c r="H168" t="s">
        <v>32</v>
      </c>
      <c r="I168" t="s">
        <v>28</v>
      </c>
      <c r="J168" t="s">
        <v>29</v>
      </c>
      <c r="K168" s="1">
        <v>43231</v>
      </c>
      <c r="L168">
        <f t="shared" si="14"/>
        <v>24</v>
      </c>
      <c r="M168">
        <f>IF(Table1[[#This Row],[Alive]]="No",Table1[[#This Row],[daysDeath]],Table1[[#This Row],[daysSince]])</f>
        <v>24</v>
      </c>
      <c r="N168">
        <v>96</v>
      </c>
      <c r="O168">
        <v>14.2</v>
      </c>
      <c r="P168">
        <v>391</v>
      </c>
      <c r="Q168">
        <v>13</v>
      </c>
      <c r="R168">
        <v>2.9</v>
      </c>
      <c r="S168">
        <v>38</v>
      </c>
      <c r="T168">
        <v>140</v>
      </c>
      <c r="U168">
        <v>18</v>
      </c>
      <c r="V168">
        <v>152</v>
      </c>
      <c r="W168">
        <v>64</v>
      </c>
      <c r="X168" t="s">
        <v>30</v>
      </c>
      <c r="Y168" t="s">
        <v>31</v>
      </c>
      <c r="Z168" t="s">
        <v>31</v>
      </c>
    </row>
    <row r="169" spans="1:26" ht="30" customHeight="1">
      <c r="A169">
        <v>1107356164</v>
      </c>
      <c r="B169">
        <f>COUNTIF(A:A,A169)</f>
        <v>1</v>
      </c>
      <c r="C169" s="1">
        <f t="shared" ca="1" si="12"/>
        <v>12976</v>
      </c>
      <c r="D169" s="1">
        <v>43220</v>
      </c>
      <c r="E169" s="4">
        <f ca="1">DATEDIF(Table1[[#This Row],[DOB]],Table1[[#This Row],[eventDate]],"Y")</f>
        <v>82</v>
      </c>
      <c r="F169" s="4" t="str">
        <f t="shared" si="13"/>
        <v>Woman</v>
      </c>
      <c r="G169" s="4">
        <f ca="1">_xlfn.DAYS(TODAY(),Table1[[#This Row],[eventDate]])</f>
        <v>2893</v>
      </c>
      <c r="H169" t="s">
        <v>32</v>
      </c>
      <c r="I169" t="s">
        <v>34</v>
      </c>
      <c r="J169" t="s">
        <v>29</v>
      </c>
      <c r="K169" s="1">
        <v>43310</v>
      </c>
      <c r="L169">
        <f t="shared" si="14"/>
        <v>90</v>
      </c>
      <c r="M169">
        <f>IF(Table1[[#This Row],[Alive]]="No",Table1[[#This Row],[daysDeath]],Table1[[#This Row],[daysSince]])</f>
        <v>90</v>
      </c>
      <c r="N169">
        <v>107</v>
      </c>
      <c r="O169">
        <v>5.6</v>
      </c>
      <c r="P169">
        <v>132</v>
      </c>
      <c r="Q169">
        <v>12</v>
      </c>
      <c r="R169">
        <v>3.4</v>
      </c>
      <c r="S169">
        <v>51</v>
      </c>
      <c r="T169">
        <v>275</v>
      </c>
      <c r="U169">
        <v>26</v>
      </c>
      <c r="V169">
        <v>24</v>
      </c>
      <c r="W169">
        <v>63.8</v>
      </c>
      <c r="X169" t="s">
        <v>30</v>
      </c>
      <c r="Y169" t="s">
        <v>31</v>
      </c>
      <c r="Z169" t="s">
        <v>29</v>
      </c>
    </row>
    <row r="170" spans="1:26" ht="30" customHeight="1">
      <c r="A170">
        <v>203466357</v>
      </c>
      <c r="B170">
        <f>COUNTIF(A:A,A170)</f>
        <v>1</v>
      </c>
      <c r="C170" s="1">
        <f t="shared" ca="1" si="12"/>
        <v>16863</v>
      </c>
      <c r="D170" s="1">
        <v>43228</v>
      </c>
      <c r="E170" s="4">
        <f ca="1">DATEDIF(Table1[[#This Row],[DOB]],Table1[[#This Row],[eventDate]],"Y")</f>
        <v>72</v>
      </c>
      <c r="F170" s="4" t="str">
        <f t="shared" si="13"/>
        <v>Man</v>
      </c>
      <c r="G170" s="4">
        <f ca="1">_xlfn.DAYS(TODAY(),Table1[[#This Row],[eventDate]])</f>
        <v>2885</v>
      </c>
      <c r="H170" t="s">
        <v>32</v>
      </c>
      <c r="I170" t="s">
        <v>34</v>
      </c>
      <c r="J170" t="s">
        <v>29</v>
      </c>
      <c r="K170" s="1">
        <v>43235</v>
      </c>
      <c r="L170">
        <f t="shared" si="14"/>
        <v>7</v>
      </c>
      <c r="M170">
        <f>IF(Table1[[#This Row],[Alive]]="No",Table1[[#This Row],[daysDeath]],Table1[[#This Row],[daysSince]])</f>
        <v>7</v>
      </c>
      <c r="N170">
        <v>143</v>
      </c>
      <c r="O170">
        <v>14.4</v>
      </c>
      <c r="P170">
        <v>321</v>
      </c>
      <c r="Q170">
        <v>12</v>
      </c>
      <c r="R170">
        <v>5.5</v>
      </c>
      <c r="S170">
        <v>75</v>
      </c>
      <c r="T170">
        <v>222</v>
      </c>
      <c r="U170">
        <v>25</v>
      </c>
      <c r="V170">
        <v>35</v>
      </c>
      <c r="X170" t="s">
        <v>30</v>
      </c>
      <c r="Y170" t="s">
        <v>31</v>
      </c>
      <c r="Z170" t="s">
        <v>31</v>
      </c>
    </row>
    <row r="171" spans="1:26" ht="30" customHeight="1">
      <c r="A171">
        <v>310316014</v>
      </c>
      <c r="B171">
        <f>COUNTIF(A:A,A171)</f>
        <v>1</v>
      </c>
      <c r="C171" s="1">
        <f t="shared" ca="1" si="12"/>
        <v>11599</v>
      </c>
      <c r="D171" s="1">
        <v>43286</v>
      </c>
      <c r="E171" s="4">
        <f ca="1">DATEDIF(Table1[[#This Row],[DOB]],Table1[[#This Row],[eventDate]],"Y")</f>
        <v>86</v>
      </c>
      <c r="F171" s="4" t="str">
        <f t="shared" si="13"/>
        <v>Man</v>
      </c>
      <c r="G171" s="4">
        <f ca="1">_xlfn.DAYS(TODAY(),Table1[[#This Row],[eventDate]])</f>
        <v>2827</v>
      </c>
      <c r="H171" t="s">
        <v>27</v>
      </c>
      <c r="I171" t="s">
        <v>28</v>
      </c>
      <c r="J171" t="s">
        <v>29</v>
      </c>
      <c r="K171" s="1">
        <v>43362</v>
      </c>
      <c r="L171">
        <f t="shared" si="14"/>
        <v>76</v>
      </c>
      <c r="M171">
        <f>IF(Table1[[#This Row],[Alive]]="No",Table1[[#This Row],[daysDeath]],Table1[[#This Row],[daysSince]])</f>
        <v>76</v>
      </c>
      <c r="N171">
        <v>90</v>
      </c>
      <c r="O171">
        <v>9.8000000000000007</v>
      </c>
      <c r="P171">
        <v>390</v>
      </c>
      <c r="Q171">
        <v>11</v>
      </c>
      <c r="R171">
        <v>5.9</v>
      </c>
      <c r="S171">
        <v>65</v>
      </c>
      <c r="T171">
        <v>149</v>
      </c>
      <c r="U171">
        <v>27</v>
      </c>
      <c r="V171">
        <v>5</v>
      </c>
      <c r="W171">
        <v>71</v>
      </c>
      <c r="X171" t="s">
        <v>30</v>
      </c>
      <c r="Y171" t="s">
        <v>31</v>
      </c>
      <c r="Z171" t="s">
        <v>29</v>
      </c>
    </row>
    <row r="172" spans="1:26" ht="30" customHeight="1">
      <c r="A172">
        <v>2108446176</v>
      </c>
      <c r="B172">
        <f>COUNTIF(A:A,A172)</f>
        <v>1</v>
      </c>
      <c r="C172" s="1">
        <f t="shared" ca="1" si="12"/>
        <v>16305</v>
      </c>
      <c r="D172" s="1">
        <v>43299</v>
      </c>
      <c r="E172" s="4">
        <f ca="1">DATEDIF(Table1[[#This Row],[DOB]],Table1[[#This Row],[eventDate]],"Y")</f>
        <v>73</v>
      </c>
      <c r="F172" s="4" t="str">
        <f t="shared" si="13"/>
        <v>Man</v>
      </c>
      <c r="G172" s="4">
        <f ca="1">_xlfn.DAYS(TODAY(),Table1[[#This Row],[eventDate]])</f>
        <v>2814</v>
      </c>
      <c r="H172" t="s">
        <v>27</v>
      </c>
      <c r="I172" t="s">
        <v>34</v>
      </c>
      <c r="J172" t="s">
        <v>31</v>
      </c>
      <c r="L172" t="str">
        <f t="shared" si="14"/>
        <v/>
      </c>
      <c r="M172">
        <f ca="1">IF(Table1[[#This Row],[Alive]]="No",Table1[[#This Row],[daysDeath]],Table1[[#This Row],[daysSince]])</f>
        <v>2814</v>
      </c>
      <c r="N172">
        <v>120</v>
      </c>
      <c r="O172">
        <v>12.2</v>
      </c>
      <c r="P172">
        <v>557</v>
      </c>
      <c r="Q172">
        <v>12</v>
      </c>
      <c r="R172">
        <v>7.5</v>
      </c>
      <c r="S172">
        <v>97</v>
      </c>
      <c r="T172">
        <v>33</v>
      </c>
      <c r="U172">
        <v>27</v>
      </c>
      <c r="V172">
        <v>353</v>
      </c>
      <c r="W172">
        <v>74.7</v>
      </c>
      <c r="X172" t="s">
        <v>33</v>
      </c>
      <c r="Y172" t="s">
        <v>31</v>
      </c>
      <c r="Z172" t="s">
        <v>29</v>
      </c>
    </row>
    <row r="173" spans="1:26" ht="30" customHeight="1">
      <c r="A173">
        <v>1901366154</v>
      </c>
      <c r="B173">
        <f>COUNTIF(A:A,A173)</f>
        <v>1</v>
      </c>
      <c r="C173" s="1">
        <f t="shared" ca="1" si="12"/>
        <v>13168</v>
      </c>
      <c r="D173" s="1">
        <v>43307</v>
      </c>
      <c r="E173" s="4">
        <f ca="1">DATEDIF(Table1[[#This Row],[DOB]],Table1[[#This Row],[eventDate]],"Y")</f>
        <v>82</v>
      </c>
      <c r="F173" s="4" t="str">
        <f t="shared" si="13"/>
        <v>Man</v>
      </c>
      <c r="G173" s="4">
        <f ca="1">_xlfn.DAYS(TODAY(),Table1[[#This Row],[eventDate]])</f>
        <v>2806</v>
      </c>
      <c r="H173" t="s">
        <v>32</v>
      </c>
      <c r="I173" t="s">
        <v>34</v>
      </c>
      <c r="J173" t="s">
        <v>29</v>
      </c>
      <c r="K173" s="1">
        <v>44360</v>
      </c>
      <c r="L173">
        <f t="shared" si="14"/>
        <v>1053</v>
      </c>
      <c r="M173">
        <f>IF(Table1[[#This Row],[Alive]]="No",Table1[[#This Row],[daysDeath]],Table1[[#This Row],[daysSince]])</f>
        <v>1053</v>
      </c>
      <c r="N173">
        <v>120</v>
      </c>
      <c r="O173">
        <v>11.4</v>
      </c>
      <c r="P173">
        <v>210</v>
      </c>
      <c r="Q173">
        <v>12</v>
      </c>
      <c r="R173">
        <v>4.3</v>
      </c>
      <c r="S173">
        <v>84</v>
      </c>
      <c r="T173">
        <v>61</v>
      </c>
      <c r="U173">
        <v>32</v>
      </c>
      <c r="V173">
        <v>55</v>
      </c>
      <c r="W173">
        <v>66</v>
      </c>
      <c r="X173" t="s">
        <v>33</v>
      </c>
      <c r="Y173" t="s">
        <v>31</v>
      </c>
      <c r="Z173" t="s">
        <v>29</v>
      </c>
    </row>
    <row r="174" spans="1:26" ht="30" customHeight="1">
      <c r="A174">
        <v>2806396204</v>
      </c>
      <c r="B174">
        <f>COUNTIF(A:A,A174)</f>
        <v>1</v>
      </c>
      <c r="C174" s="1">
        <f t="shared" ca="1" si="12"/>
        <v>14424</v>
      </c>
      <c r="D174" s="1">
        <v>43307</v>
      </c>
      <c r="E174" s="4">
        <f ca="1">DATEDIF(Table1[[#This Row],[DOB]],Table1[[#This Row],[eventDate]],"Y")</f>
        <v>79</v>
      </c>
      <c r="F174" s="4" t="str">
        <f t="shared" si="13"/>
        <v>Woman</v>
      </c>
      <c r="G174" s="4">
        <f ca="1">_xlfn.DAYS(TODAY(),Table1[[#This Row],[eventDate]])</f>
        <v>2806</v>
      </c>
      <c r="H174" t="s">
        <v>27</v>
      </c>
      <c r="I174" t="s">
        <v>28</v>
      </c>
      <c r="J174" t="s">
        <v>29</v>
      </c>
      <c r="K174" s="1">
        <v>43389</v>
      </c>
      <c r="L174">
        <f t="shared" si="14"/>
        <v>82</v>
      </c>
      <c r="M174">
        <f>IF(Table1[[#This Row],[Alive]]="No",Table1[[#This Row],[daysDeath]],Table1[[#This Row],[daysSince]])</f>
        <v>82</v>
      </c>
      <c r="N174">
        <v>83</v>
      </c>
      <c r="O174">
        <v>10.6</v>
      </c>
      <c r="P174">
        <v>514</v>
      </c>
      <c r="Q174">
        <v>14</v>
      </c>
      <c r="R174">
        <v>3.9</v>
      </c>
      <c r="S174">
        <v>53</v>
      </c>
      <c r="T174">
        <v>266</v>
      </c>
      <c r="U174">
        <v>21</v>
      </c>
      <c r="V174">
        <v>111</v>
      </c>
      <c r="W174">
        <v>48.6</v>
      </c>
      <c r="X174" t="s">
        <v>30</v>
      </c>
      <c r="Y174" t="s">
        <v>29</v>
      </c>
      <c r="Z174" t="s">
        <v>29</v>
      </c>
    </row>
    <row r="175" spans="1:26" ht="30" customHeight="1">
      <c r="A175">
        <v>3110416115</v>
      </c>
      <c r="B175">
        <f>COUNTIF(A:A,A175)</f>
        <v>1</v>
      </c>
      <c r="C175" s="1">
        <f t="shared" ca="1" si="12"/>
        <v>15280</v>
      </c>
      <c r="D175" s="1">
        <v>43311</v>
      </c>
      <c r="E175" s="4">
        <f ca="1">DATEDIF(Table1[[#This Row],[DOB]],Table1[[#This Row],[eventDate]],"Y")</f>
        <v>76</v>
      </c>
      <c r="F175" s="4" t="str">
        <f t="shared" si="13"/>
        <v>Man</v>
      </c>
      <c r="G175" s="4">
        <f ca="1">_xlfn.DAYS(TODAY(),Table1[[#This Row],[eventDate]])</f>
        <v>2802</v>
      </c>
      <c r="H175" t="s">
        <v>32</v>
      </c>
      <c r="I175" t="s">
        <v>34</v>
      </c>
      <c r="J175" t="s">
        <v>29</v>
      </c>
      <c r="K175" s="1">
        <v>43442</v>
      </c>
      <c r="L175">
        <f t="shared" si="14"/>
        <v>131</v>
      </c>
      <c r="M175">
        <f>IF(Table1[[#This Row],[Alive]]="No",Table1[[#This Row],[daysDeath]],Table1[[#This Row],[daysSince]])</f>
        <v>131</v>
      </c>
      <c r="N175">
        <v>107</v>
      </c>
      <c r="O175">
        <v>8.5</v>
      </c>
      <c r="P175">
        <v>335</v>
      </c>
      <c r="Q175">
        <v>12</v>
      </c>
      <c r="R175">
        <v>5.7</v>
      </c>
      <c r="S175">
        <v>103</v>
      </c>
      <c r="T175">
        <v>307</v>
      </c>
      <c r="U175">
        <v>15</v>
      </c>
      <c r="V175">
        <v>17</v>
      </c>
      <c r="W175">
        <v>98</v>
      </c>
      <c r="X175" t="s">
        <v>30</v>
      </c>
      <c r="Y175" t="s">
        <v>31</v>
      </c>
      <c r="Z175" t="s">
        <v>29</v>
      </c>
    </row>
    <row r="176" spans="1:26" ht="30" customHeight="1">
      <c r="A176">
        <v>1105366464</v>
      </c>
      <c r="B176">
        <f>COUNTIF(A:A,A176)</f>
        <v>1</v>
      </c>
      <c r="C176" s="1">
        <f t="shared" ca="1" si="12"/>
        <v>13281</v>
      </c>
      <c r="D176" s="1">
        <v>43315</v>
      </c>
      <c r="E176" s="4">
        <f ca="1">DATEDIF(Table1[[#This Row],[DOB]],Table1[[#This Row],[eventDate]],"Y")</f>
        <v>82</v>
      </c>
      <c r="F176" s="4" t="str">
        <f t="shared" si="13"/>
        <v>Woman</v>
      </c>
      <c r="G176" s="4">
        <f ca="1">_xlfn.DAYS(TODAY(),Table1[[#This Row],[eventDate]])</f>
        <v>2798</v>
      </c>
      <c r="H176" t="s">
        <v>27</v>
      </c>
      <c r="I176" t="s">
        <v>34</v>
      </c>
      <c r="J176" t="s">
        <v>29</v>
      </c>
      <c r="K176" s="1">
        <v>43361</v>
      </c>
      <c r="L176">
        <f t="shared" si="14"/>
        <v>46</v>
      </c>
      <c r="M176">
        <f>IF(Table1[[#This Row],[Alive]]="No",Table1[[#This Row],[daysDeath]],Table1[[#This Row],[daysSince]])</f>
        <v>46</v>
      </c>
      <c r="N176">
        <v>103</v>
      </c>
      <c r="O176">
        <v>4</v>
      </c>
      <c r="P176">
        <v>269</v>
      </c>
      <c r="Q176">
        <v>12</v>
      </c>
      <c r="R176">
        <v>2.1</v>
      </c>
      <c r="S176">
        <v>70</v>
      </c>
      <c r="T176">
        <v>393</v>
      </c>
      <c r="U176">
        <v>25</v>
      </c>
      <c r="V176">
        <v>7</v>
      </c>
      <c r="W176">
        <v>60</v>
      </c>
      <c r="X176" t="s">
        <v>30</v>
      </c>
      <c r="Y176" t="s">
        <v>29</v>
      </c>
      <c r="Z176" t="s">
        <v>29</v>
      </c>
    </row>
    <row r="177" spans="1:26" ht="30" customHeight="1">
      <c r="A177">
        <v>406423059</v>
      </c>
      <c r="B177">
        <f>COUNTIF(A:A,A177)</f>
        <v>1</v>
      </c>
      <c r="C177" s="1">
        <f t="shared" ca="1" si="12"/>
        <v>15496</v>
      </c>
      <c r="D177" s="1">
        <v>43322</v>
      </c>
      <c r="E177" s="4">
        <f ca="1">DATEDIF(Table1[[#This Row],[DOB]],Table1[[#This Row],[eventDate]],"Y")</f>
        <v>76</v>
      </c>
      <c r="F177" s="4" t="str">
        <f t="shared" si="13"/>
        <v>Man</v>
      </c>
      <c r="G177" s="4">
        <f ca="1">_xlfn.DAYS(TODAY(),Table1[[#This Row],[eventDate]])</f>
        <v>2791</v>
      </c>
      <c r="H177" t="s">
        <v>27</v>
      </c>
      <c r="I177" t="s">
        <v>34</v>
      </c>
      <c r="J177" t="s">
        <v>29</v>
      </c>
      <c r="K177" s="1">
        <v>43474</v>
      </c>
      <c r="L177">
        <f t="shared" si="14"/>
        <v>152</v>
      </c>
      <c r="M177">
        <f>IF(Table1[[#This Row],[Alive]]="No",Table1[[#This Row],[daysDeath]],Table1[[#This Row],[daysSince]])</f>
        <v>152</v>
      </c>
      <c r="N177">
        <v>142</v>
      </c>
      <c r="O177">
        <v>15.3</v>
      </c>
      <c r="P177">
        <v>628</v>
      </c>
      <c r="Q177">
        <v>13</v>
      </c>
      <c r="R177">
        <v>9.9</v>
      </c>
      <c r="S177">
        <v>183</v>
      </c>
      <c r="T177">
        <v>409</v>
      </c>
      <c r="U177">
        <v>17</v>
      </c>
      <c r="V177">
        <v>109</v>
      </c>
      <c r="W177">
        <v>78.3</v>
      </c>
      <c r="X177" t="s">
        <v>30</v>
      </c>
      <c r="Y177" t="s">
        <v>31</v>
      </c>
      <c r="Z177" t="s">
        <v>29</v>
      </c>
    </row>
    <row r="178" spans="1:26" ht="30" customHeight="1">
      <c r="A178">
        <v>409396028</v>
      </c>
      <c r="B178">
        <f>COUNTIF(A:A,A178)</f>
        <v>1</v>
      </c>
      <c r="C178" s="1">
        <f t="shared" ca="1" si="12"/>
        <v>14492</v>
      </c>
      <c r="D178" s="1">
        <v>43323</v>
      </c>
      <c r="E178" s="4">
        <f ca="1">DATEDIF(Table1[[#This Row],[DOB]],Table1[[#This Row],[eventDate]],"Y")</f>
        <v>78</v>
      </c>
      <c r="F178" s="4" t="str">
        <f t="shared" si="13"/>
        <v>Woman</v>
      </c>
      <c r="G178" s="4">
        <f ca="1">_xlfn.DAYS(TODAY(),Table1[[#This Row],[eventDate]])</f>
        <v>2790</v>
      </c>
      <c r="H178" t="s">
        <v>27</v>
      </c>
      <c r="I178" t="s">
        <v>34</v>
      </c>
      <c r="J178" t="s">
        <v>29</v>
      </c>
      <c r="K178" s="1">
        <v>43358</v>
      </c>
      <c r="L178">
        <f t="shared" si="14"/>
        <v>35</v>
      </c>
      <c r="M178">
        <f>IF(Table1[[#This Row],[Alive]]="No",Table1[[#This Row],[daysDeath]],Table1[[#This Row],[daysSince]])</f>
        <v>35</v>
      </c>
      <c r="N178">
        <v>90</v>
      </c>
      <c r="O178">
        <v>13.3</v>
      </c>
      <c r="P178">
        <v>424</v>
      </c>
      <c r="Q178">
        <v>15</v>
      </c>
      <c r="R178">
        <v>3.6</v>
      </c>
      <c r="S178">
        <v>68</v>
      </c>
      <c r="T178">
        <v>100</v>
      </c>
      <c r="U178">
        <v>15</v>
      </c>
      <c r="V178">
        <v>101</v>
      </c>
      <c r="X178" t="s">
        <v>30</v>
      </c>
      <c r="Y178" t="s">
        <v>29</v>
      </c>
      <c r="Z178" t="s">
        <v>31</v>
      </c>
    </row>
    <row r="179" spans="1:26" ht="30" customHeight="1">
      <c r="A179">
        <v>2007526298</v>
      </c>
      <c r="B179">
        <f>COUNTIF(A:A,A179)</f>
        <v>1</v>
      </c>
      <c r="C179" s="1">
        <f t="shared" ca="1" si="12"/>
        <v>19195</v>
      </c>
      <c r="D179" s="1">
        <v>43354</v>
      </c>
      <c r="E179" s="4">
        <f ca="1">DATEDIF(Table1[[#This Row],[DOB]],Table1[[#This Row],[eventDate]],"Y")</f>
        <v>66</v>
      </c>
      <c r="F179" s="4" t="str">
        <f t="shared" si="13"/>
        <v>Man</v>
      </c>
      <c r="G179" s="4">
        <f ca="1">_xlfn.DAYS(TODAY(),Table1[[#This Row],[eventDate]])</f>
        <v>2759</v>
      </c>
      <c r="H179" t="s">
        <v>32</v>
      </c>
      <c r="I179" t="s">
        <v>34</v>
      </c>
      <c r="J179" t="s">
        <v>29</v>
      </c>
      <c r="K179" s="1">
        <v>43358</v>
      </c>
      <c r="L179">
        <f t="shared" si="14"/>
        <v>4</v>
      </c>
      <c r="M179">
        <f>IF(Table1[[#This Row],[Alive]]="No",Table1[[#This Row],[daysDeath]],Table1[[#This Row],[daysSince]])</f>
        <v>4</v>
      </c>
      <c r="N179">
        <v>129</v>
      </c>
      <c r="O179">
        <v>12.3</v>
      </c>
      <c r="P179">
        <v>150</v>
      </c>
      <c r="Q179">
        <v>14</v>
      </c>
      <c r="R179">
        <v>6.5</v>
      </c>
      <c r="S179">
        <v>64</v>
      </c>
      <c r="T179">
        <v>380</v>
      </c>
      <c r="U179">
        <v>27</v>
      </c>
      <c r="V179">
        <v>21</v>
      </c>
      <c r="W179">
        <v>83</v>
      </c>
      <c r="X179" t="s">
        <v>30</v>
      </c>
      <c r="Y179" t="s">
        <v>31</v>
      </c>
      <c r="Z179" t="s">
        <v>31</v>
      </c>
    </row>
    <row r="180" spans="1:26" ht="30" customHeight="1">
      <c r="A180">
        <v>2004405252</v>
      </c>
      <c r="B180">
        <f>COUNTIF(A:A,A180)</f>
        <v>1</v>
      </c>
      <c r="C180" s="1">
        <f t="shared" ca="1" si="12"/>
        <v>14721</v>
      </c>
      <c r="D180" s="1">
        <v>43368</v>
      </c>
      <c r="E180" s="4">
        <f ca="1">DATEDIF(Table1[[#This Row],[DOB]],Table1[[#This Row],[eventDate]],"Y")</f>
        <v>78</v>
      </c>
      <c r="F180" s="4" t="str">
        <f t="shared" si="13"/>
        <v>Man</v>
      </c>
      <c r="G180" s="4">
        <f ca="1">_xlfn.DAYS(TODAY(),Table1[[#This Row],[eventDate]])</f>
        <v>2745</v>
      </c>
      <c r="H180" t="s">
        <v>32</v>
      </c>
      <c r="I180" t="s">
        <v>28</v>
      </c>
      <c r="J180" t="s">
        <v>29</v>
      </c>
      <c r="K180" s="7">
        <v>46042</v>
      </c>
      <c r="L180">
        <f t="shared" si="14"/>
        <v>2674</v>
      </c>
      <c r="M180">
        <f>IF(Table1[[#This Row],[Alive]]="No",Table1[[#This Row],[daysDeath]],Table1[[#This Row],[daysSince]])</f>
        <v>2674</v>
      </c>
      <c r="N180">
        <v>116</v>
      </c>
      <c r="O180">
        <v>3.9</v>
      </c>
      <c r="P180">
        <v>169</v>
      </c>
      <c r="Q180">
        <v>13</v>
      </c>
      <c r="R180">
        <v>4.5</v>
      </c>
      <c r="S180">
        <v>60</v>
      </c>
      <c r="T180">
        <v>10</v>
      </c>
      <c r="U180">
        <v>34</v>
      </c>
      <c r="V180">
        <v>11</v>
      </c>
      <c r="W180">
        <v>75</v>
      </c>
      <c r="X180" t="s">
        <v>33</v>
      </c>
      <c r="Y180" t="s">
        <v>29</v>
      </c>
      <c r="Z180" t="s">
        <v>29</v>
      </c>
    </row>
    <row r="181" spans="1:26" ht="30" customHeight="1">
      <c r="A181">
        <v>1209496097</v>
      </c>
      <c r="B181">
        <f>COUNTIF(A:A,A181)</f>
        <v>1</v>
      </c>
      <c r="C181" s="1">
        <f t="shared" ca="1" si="12"/>
        <v>18153</v>
      </c>
      <c r="D181" s="1">
        <v>43371</v>
      </c>
      <c r="E181" s="4">
        <f ca="1">DATEDIF(Table1[[#This Row],[DOB]],Table1[[#This Row],[eventDate]],"Y")</f>
        <v>69</v>
      </c>
      <c r="F181" s="4" t="str">
        <f t="shared" si="13"/>
        <v>Man</v>
      </c>
      <c r="G181" s="4">
        <f ca="1">_xlfn.DAYS(TODAY(),Table1[[#This Row],[eventDate]])</f>
        <v>2742</v>
      </c>
      <c r="H181" t="s">
        <v>36</v>
      </c>
      <c r="I181" t="s">
        <v>34</v>
      </c>
      <c r="J181" t="s">
        <v>29</v>
      </c>
      <c r="K181" s="1">
        <v>43415</v>
      </c>
      <c r="L181">
        <f t="shared" si="14"/>
        <v>44</v>
      </c>
      <c r="M181">
        <f>IF(Table1[[#This Row],[Alive]]="No",Table1[[#This Row],[daysDeath]],Table1[[#This Row],[daysSince]])</f>
        <v>44</v>
      </c>
      <c r="N181">
        <v>81</v>
      </c>
      <c r="O181">
        <v>16.3</v>
      </c>
      <c r="P181">
        <v>243</v>
      </c>
      <c r="Q181">
        <v>16</v>
      </c>
      <c r="R181">
        <v>21.8</v>
      </c>
      <c r="S181">
        <v>444</v>
      </c>
      <c r="T181">
        <v>462</v>
      </c>
      <c r="U181">
        <v>17</v>
      </c>
      <c r="V181">
        <v>233</v>
      </c>
      <c r="X181" t="s">
        <v>30</v>
      </c>
      <c r="Y181" t="s">
        <v>31</v>
      </c>
      <c r="Z181" t="s">
        <v>29</v>
      </c>
    </row>
    <row r="182" spans="1:26" ht="30" customHeight="1">
      <c r="A182">
        <v>1907513108</v>
      </c>
      <c r="B182">
        <f>COUNTIF(A:A,A182)</f>
        <v>1</v>
      </c>
      <c r="C182" s="1">
        <f t="shared" ca="1" si="12"/>
        <v>18828</v>
      </c>
      <c r="D182" s="1">
        <v>43375</v>
      </c>
      <c r="E182" s="4">
        <f ca="1">DATEDIF(Table1[[#This Row],[DOB]],Table1[[#This Row],[eventDate]],"Y")</f>
        <v>67</v>
      </c>
      <c r="F182" s="4" t="str">
        <f t="shared" si="13"/>
        <v>Woman</v>
      </c>
      <c r="G182" s="4">
        <f ca="1">_xlfn.DAYS(TODAY(),Table1[[#This Row],[eventDate]])</f>
        <v>2738</v>
      </c>
      <c r="H182" t="s">
        <v>32</v>
      </c>
      <c r="I182" t="s">
        <v>28</v>
      </c>
      <c r="J182" t="s">
        <v>29</v>
      </c>
      <c r="K182" s="1">
        <v>43394</v>
      </c>
      <c r="L182">
        <f t="shared" si="14"/>
        <v>19</v>
      </c>
      <c r="M182">
        <f>IF(Table1[[#This Row],[Alive]]="No",Table1[[#This Row],[daysDeath]],Table1[[#This Row],[daysSince]])</f>
        <v>19</v>
      </c>
      <c r="N182">
        <v>114</v>
      </c>
      <c r="O182">
        <v>7.2</v>
      </c>
      <c r="P182">
        <v>216</v>
      </c>
      <c r="Q182">
        <v>13</v>
      </c>
      <c r="R182">
        <v>5.9</v>
      </c>
      <c r="S182">
        <v>68</v>
      </c>
      <c r="T182">
        <v>365</v>
      </c>
      <c r="U182">
        <v>27</v>
      </c>
      <c r="V182">
        <v>27</v>
      </c>
      <c r="W182">
        <v>56</v>
      </c>
      <c r="X182" t="s">
        <v>30</v>
      </c>
      <c r="Y182" t="s">
        <v>29</v>
      </c>
      <c r="Z182" t="s">
        <v>29</v>
      </c>
    </row>
    <row r="183" spans="1:26" ht="30" customHeight="1">
      <c r="A183">
        <v>2005385395</v>
      </c>
      <c r="B183">
        <f>COUNTIF(A:A,A183)</f>
        <v>1</v>
      </c>
      <c r="C183" s="1">
        <f t="shared" ca="1" si="12"/>
        <v>14020</v>
      </c>
      <c r="D183" s="1">
        <v>43377</v>
      </c>
      <c r="E183" s="4">
        <f ca="1">DATEDIF(Table1[[#This Row],[DOB]],Table1[[#This Row],[eventDate]],"Y")</f>
        <v>80</v>
      </c>
      <c r="F183" s="4" t="str">
        <f t="shared" si="13"/>
        <v>Man</v>
      </c>
      <c r="G183" s="4">
        <f ca="1">_xlfn.DAYS(TODAY(),Table1[[#This Row],[eventDate]])</f>
        <v>2736</v>
      </c>
      <c r="H183" t="s">
        <v>27</v>
      </c>
      <c r="I183" t="s">
        <v>28</v>
      </c>
      <c r="J183" t="s">
        <v>29</v>
      </c>
      <c r="K183" s="1">
        <v>43385</v>
      </c>
      <c r="L183">
        <f t="shared" si="14"/>
        <v>8</v>
      </c>
      <c r="M183">
        <f>IF(Table1[[#This Row],[Alive]]="No",Table1[[#This Row],[daysDeath]],Table1[[#This Row],[daysSince]])</f>
        <v>8</v>
      </c>
      <c r="N183">
        <v>96</v>
      </c>
      <c r="O183">
        <v>6.6</v>
      </c>
      <c r="P183">
        <v>176</v>
      </c>
      <c r="Q183">
        <v>14</v>
      </c>
      <c r="R183">
        <v>3.8</v>
      </c>
      <c r="S183">
        <v>81</v>
      </c>
      <c r="T183">
        <v>12</v>
      </c>
      <c r="U183">
        <v>25</v>
      </c>
      <c r="V183">
        <v>6</v>
      </c>
      <c r="W183">
        <v>51.9</v>
      </c>
      <c r="X183" t="s">
        <v>30</v>
      </c>
      <c r="Y183" t="s">
        <v>29</v>
      </c>
      <c r="Z183" t="s">
        <v>31</v>
      </c>
    </row>
    <row r="184" spans="1:26" ht="30" customHeight="1">
      <c r="A184">
        <v>1403696578</v>
      </c>
      <c r="B184">
        <f>COUNTIF(A:A,A184)</f>
        <v>1</v>
      </c>
      <c r="C184" s="1">
        <f t="shared" ca="1" si="12"/>
        <v>25276</v>
      </c>
      <c r="D184" s="1">
        <v>43397</v>
      </c>
      <c r="E184" s="4">
        <f ca="1">DATEDIF(Table1[[#This Row],[DOB]],Table1[[#This Row],[eventDate]],"Y")</f>
        <v>49</v>
      </c>
      <c r="F184" s="4" t="str">
        <f t="shared" si="13"/>
        <v>Man</v>
      </c>
      <c r="G184" s="4">
        <f ca="1">_xlfn.DAYS(TODAY(),Table1[[#This Row],[eventDate]])</f>
        <v>2716</v>
      </c>
      <c r="H184" t="s">
        <v>27</v>
      </c>
      <c r="I184" t="s">
        <v>34</v>
      </c>
      <c r="J184" t="s">
        <v>29</v>
      </c>
      <c r="K184" s="1">
        <v>43446</v>
      </c>
      <c r="L184">
        <f t="shared" si="14"/>
        <v>49</v>
      </c>
      <c r="M184">
        <f>IF(Table1[[#This Row],[Alive]]="No",Table1[[#This Row],[daysDeath]],Table1[[#This Row],[daysSince]])</f>
        <v>49</v>
      </c>
      <c r="N184">
        <v>132</v>
      </c>
      <c r="O184">
        <v>6.8</v>
      </c>
      <c r="P184">
        <v>199</v>
      </c>
      <c r="Q184">
        <v>13</v>
      </c>
      <c r="R184">
        <v>3.8</v>
      </c>
      <c r="S184">
        <v>57</v>
      </c>
      <c r="T184">
        <v>373</v>
      </c>
      <c r="U184">
        <v>33</v>
      </c>
      <c r="V184">
        <v>5</v>
      </c>
      <c r="X184" t="s">
        <v>30</v>
      </c>
      <c r="Y184" t="s">
        <v>29</v>
      </c>
      <c r="Z184" t="s">
        <v>29</v>
      </c>
    </row>
    <row r="185" spans="1:26" ht="30" customHeight="1">
      <c r="A185">
        <v>2105416128</v>
      </c>
      <c r="B185">
        <f>COUNTIF(A:A,A185)</f>
        <v>1</v>
      </c>
      <c r="C185" s="1">
        <f t="shared" ca="1" si="12"/>
        <v>15117</v>
      </c>
      <c r="D185" s="1">
        <v>43399</v>
      </c>
      <c r="E185" s="4">
        <f ca="1">DATEDIF(Table1[[#This Row],[DOB]],Table1[[#This Row],[eventDate]],"Y")</f>
        <v>77</v>
      </c>
      <c r="F185" s="4" t="str">
        <f t="shared" si="13"/>
        <v>Woman</v>
      </c>
      <c r="G185" s="4">
        <f ca="1">_xlfn.DAYS(TODAY(),Table1[[#This Row],[eventDate]])</f>
        <v>2714</v>
      </c>
      <c r="H185" t="s">
        <v>27</v>
      </c>
      <c r="I185" t="s">
        <v>34</v>
      </c>
      <c r="J185" t="s">
        <v>29</v>
      </c>
      <c r="K185" s="1">
        <v>43620</v>
      </c>
      <c r="L185">
        <f t="shared" si="14"/>
        <v>221</v>
      </c>
      <c r="M185">
        <f>IF(Table1[[#This Row],[Alive]]="No",Table1[[#This Row],[daysDeath]],Table1[[#This Row],[daysSince]])</f>
        <v>221</v>
      </c>
      <c r="N185">
        <v>95</v>
      </c>
      <c r="O185">
        <v>8.6</v>
      </c>
      <c r="P185">
        <v>471</v>
      </c>
      <c r="Q185">
        <v>13</v>
      </c>
      <c r="R185">
        <v>3.5</v>
      </c>
      <c r="S185">
        <v>58</v>
      </c>
      <c r="T185">
        <v>292</v>
      </c>
      <c r="U185">
        <v>19</v>
      </c>
      <c r="V185">
        <v>54</v>
      </c>
      <c r="W185">
        <v>82</v>
      </c>
      <c r="X185" t="s">
        <v>30</v>
      </c>
      <c r="Y185" t="s">
        <v>29</v>
      </c>
      <c r="Z185" t="s">
        <v>29</v>
      </c>
    </row>
    <row r="186" spans="1:26" ht="30" customHeight="1">
      <c r="A186">
        <v>1308335261</v>
      </c>
      <c r="B186">
        <f>COUNTIF(A:A,A186)</f>
        <v>1</v>
      </c>
      <c r="C186" s="1">
        <f t="shared" ca="1" si="12"/>
        <v>12279</v>
      </c>
      <c r="D186" s="1">
        <v>43399</v>
      </c>
      <c r="E186" s="4">
        <f ca="1">DATEDIF(Table1[[#This Row],[DOB]],Table1[[#This Row],[eventDate]],"Y")</f>
        <v>85</v>
      </c>
      <c r="F186" s="4" t="str">
        <f t="shared" si="13"/>
        <v>Woman</v>
      </c>
      <c r="G186" s="4">
        <f ca="1">_xlfn.DAYS(TODAY(),Table1[[#This Row],[eventDate]])</f>
        <v>2714</v>
      </c>
      <c r="H186" t="s">
        <v>32</v>
      </c>
      <c r="I186" t="s">
        <v>34</v>
      </c>
      <c r="J186" t="s">
        <v>29</v>
      </c>
      <c r="K186" s="1">
        <v>44145</v>
      </c>
      <c r="L186">
        <f t="shared" si="14"/>
        <v>746</v>
      </c>
      <c r="M186">
        <f>IF(Table1[[#This Row],[Alive]]="No",Table1[[#This Row],[daysDeath]],Table1[[#This Row],[daysSince]])</f>
        <v>746</v>
      </c>
      <c r="N186">
        <v>108</v>
      </c>
      <c r="O186">
        <v>13.4</v>
      </c>
      <c r="P186">
        <v>252</v>
      </c>
      <c r="Q186">
        <v>16</v>
      </c>
      <c r="R186">
        <v>5.6</v>
      </c>
      <c r="S186">
        <v>67</v>
      </c>
      <c r="T186">
        <v>14</v>
      </c>
      <c r="U186">
        <v>24</v>
      </c>
      <c r="V186">
        <v>34</v>
      </c>
      <c r="W186">
        <v>74</v>
      </c>
      <c r="X186" t="s">
        <v>33</v>
      </c>
      <c r="Y186" t="s">
        <v>31</v>
      </c>
      <c r="Z186" t="s">
        <v>29</v>
      </c>
    </row>
    <row r="187" spans="1:26" ht="30" customHeight="1">
      <c r="A187">
        <v>1103575899</v>
      </c>
      <c r="B187">
        <f>COUNTIF(A:A,A187)</f>
        <v>1</v>
      </c>
      <c r="C187" s="1">
        <f t="shared" ca="1" si="12"/>
        <v>20890</v>
      </c>
      <c r="D187" s="1">
        <v>43406</v>
      </c>
      <c r="E187" s="4">
        <f ca="1">DATEDIF(Table1[[#This Row],[DOB]],Table1[[#This Row],[eventDate]],"Y")</f>
        <v>61</v>
      </c>
      <c r="F187" s="4" t="str">
        <f t="shared" si="13"/>
        <v>Man</v>
      </c>
      <c r="G187" s="4">
        <f ca="1">_xlfn.DAYS(TODAY(),Table1[[#This Row],[eventDate]])</f>
        <v>2707</v>
      </c>
      <c r="H187" t="s">
        <v>32</v>
      </c>
      <c r="I187" t="s">
        <v>34</v>
      </c>
      <c r="J187" t="s">
        <v>31</v>
      </c>
      <c r="K187" s="7">
        <v>44596</v>
      </c>
      <c r="L187">
        <f>_xlfn.DAYS(K187,D187)</f>
        <v>1190</v>
      </c>
      <c r="M187">
        <f>Table1[[#This Row],[daysDeath]]</f>
        <v>1190</v>
      </c>
      <c r="N187">
        <v>130</v>
      </c>
      <c r="O187">
        <v>6.1</v>
      </c>
      <c r="P187">
        <v>257</v>
      </c>
      <c r="Q187">
        <v>12</v>
      </c>
      <c r="R187">
        <v>6.2</v>
      </c>
      <c r="S187">
        <v>69</v>
      </c>
      <c r="T187">
        <v>142</v>
      </c>
      <c r="U187">
        <v>30</v>
      </c>
      <c r="V187">
        <v>17</v>
      </c>
      <c r="W187">
        <v>90</v>
      </c>
      <c r="X187" t="s">
        <v>33</v>
      </c>
      <c r="Y187" t="s">
        <v>29</v>
      </c>
      <c r="Z187" t="s">
        <v>29</v>
      </c>
    </row>
    <row r="188" spans="1:26" ht="30" customHeight="1">
      <c r="A188">
        <v>1612595251</v>
      </c>
      <c r="B188">
        <f>COUNTIF(A:A,A188)</f>
        <v>1</v>
      </c>
      <c r="C188" s="1">
        <f t="shared" ca="1" si="12"/>
        <v>21900</v>
      </c>
      <c r="D188" s="1">
        <v>43420</v>
      </c>
      <c r="E188" s="4">
        <f ca="1">DATEDIF(Table1[[#This Row],[DOB]],Table1[[#This Row],[eventDate]],"Y")</f>
        <v>58</v>
      </c>
      <c r="F188" s="4" t="str">
        <f t="shared" si="13"/>
        <v>Man</v>
      </c>
      <c r="G188" s="4">
        <f ca="1">_xlfn.DAYS(TODAY(),Table1[[#This Row],[eventDate]])</f>
        <v>2693</v>
      </c>
      <c r="H188" t="s">
        <v>27</v>
      </c>
      <c r="I188" t="s">
        <v>34</v>
      </c>
      <c r="J188" t="s">
        <v>29</v>
      </c>
      <c r="K188" s="1">
        <v>43695</v>
      </c>
      <c r="L188">
        <f t="shared" si="14"/>
        <v>275</v>
      </c>
      <c r="M188">
        <f>IF(Table1[[#This Row],[Alive]]="No",Table1[[#This Row],[daysDeath]],Table1[[#This Row],[daysSince]])</f>
        <v>275</v>
      </c>
      <c r="N188">
        <v>121</v>
      </c>
      <c r="O188">
        <v>12.6</v>
      </c>
      <c r="P188">
        <v>375</v>
      </c>
      <c r="Q188">
        <v>14</v>
      </c>
      <c r="R188">
        <v>3.8</v>
      </c>
      <c r="S188">
        <v>52</v>
      </c>
      <c r="T188">
        <v>234</v>
      </c>
      <c r="U188">
        <v>24</v>
      </c>
      <c r="V188">
        <v>19</v>
      </c>
      <c r="W188">
        <v>57.5</v>
      </c>
      <c r="X188" t="s">
        <v>30</v>
      </c>
      <c r="Y188" t="s">
        <v>29</v>
      </c>
      <c r="Z188" t="s">
        <v>29</v>
      </c>
    </row>
    <row r="189" spans="1:26" ht="30" customHeight="1">
      <c r="A189">
        <v>1011566338</v>
      </c>
      <c r="B189">
        <f>COUNTIF(A:A,A189)</f>
        <v>1</v>
      </c>
      <c r="C189" s="1">
        <f t="shared" ca="1" si="12"/>
        <v>20769</v>
      </c>
      <c r="D189" s="1">
        <v>43430</v>
      </c>
      <c r="E189" s="4">
        <f ca="1">DATEDIF(Table1[[#This Row],[DOB]],Table1[[#This Row],[eventDate]],"Y")</f>
        <v>62</v>
      </c>
      <c r="F189" s="4" t="str">
        <f t="shared" si="13"/>
        <v>Man</v>
      </c>
      <c r="G189" s="4">
        <f ca="1">_xlfn.DAYS(TODAY(),Table1[[#This Row],[eventDate]])</f>
        <v>2683</v>
      </c>
      <c r="H189" t="s">
        <v>36</v>
      </c>
      <c r="I189" t="s">
        <v>34</v>
      </c>
      <c r="J189" t="s">
        <v>29</v>
      </c>
      <c r="K189" s="1">
        <v>43442</v>
      </c>
      <c r="L189">
        <f t="shared" si="14"/>
        <v>12</v>
      </c>
      <c r="M189">
        <f>IF(Table1[[#This Row],[Alive]]="No",Table1[[#This Row],[daysDeath]],Table1[[#This Row],[daysSince]])</f>
        <v>12</v>
      </c>
      <c r="N189">
        <v>88</v>
      </c>
      <c r="O189">
        <v>10.199999999999999</v>
      </c>
      <c r="P189">
        <v>219</v>
      </c>
      <c r="Q189">
        <v>13</v>
      </c>
      <c r="R189">
        <v>3.8</v>
      </c>
      <c r="S189">
        <v>44</v>
      </c>
      <c r="T189">
        <v>238</v>
      </c>
      <c r="U189">
        <v>13</v>
      </c>
      <c r="V189">
        <v>212</v>
      </c>
      <c r="W189">
        <v>97</v>
      </c>
      <c r="X189" t="s">
        <v>30</v>
      </c>
      <c r="Y189" t="s">
        <v>29</v>
      </c>
      <c r="Z189" t="s">
        <v>31</v>
      </c>
    </row>
    <row r="190" spans="1:26" ht="30" customHeight="1">
      <c r="A190">
        <v>3009376367</v>
      </c>
      <c r="B190">
        <f>COUNTIF(A:A,A190)</f>
        <v>1</v>
      </c>
      <c r="C190" s="1">
        <f t="shared" ca="1" si="12"/>
        <v>13788</v>
      </c>
      <c r="D190" s="1">
        <v>43437</v>
      </c>
      <c r="E190" s="4">
        <f ca="1">DATEDIF(Table1[[#This Row],[DOB]],Table1[[#This Row],[eventDate]],"Y")</f>
        <v>81</v>
      </c>
      <c r="F190" s="4" t="str">
        <f t="shared" si="13"/>
        <v>Woman</v>
      </c>
      <c r="G190" s="4">
        <f ca="1">_xlfn.DAYS(TODAY(),Table1[[#This Row],[eventDate]])</f>
        <v>2676</v>
      </c>
      <c r="H190" t="s">
        <v>32</v>
      </c>
      <c r="I190" t="s">
        <v>34</v>
      </c>
      <c r="J190" t="s">
        <v>29</v>
      </c>
      <c r="K190" s="1">
        <v>43521</v>
      </c>
      <c r="L190">
        <f t="shared" si="14"/>
        <v>84</v>
      </c>
      <c r="M190">
        <f>IF(Table1[[#This Row],[Alive]]="No",Table1[[#This Row],[daysDeath]],Table1[[#This Row],[daysSince]])</f>
        <v>84</v>
      </c>
      <c r="N190">
        <v>121</v>
      </c>
      <c r="O190">
        <v>7.2</v>
      </c>
      <c r="P190">
        <v>200</v>
      </c>
      <c r="Q190">
        <v>14</v>
      </c>
      <c r="R190">
        <v>6.2</v>
      </c>
      <c r="S190">
        <v>70</v>
      </c>
      <c r="T190">
        <v>64</v>
      </c>
      <c r="U190">
        <v>29</v>
      </c>
      <c r="V190">
        <v>13</v>
      </c>
      <c r="W190">
        <v>75</v>
      </c>
      <c r="X190" t="s">
        <v>30</v>
      </c>
      <c r="Y190" t="s">
        <v>31</v>
      </c>
      <c r="Z190" t="s">
        <v>29</v>
      </c>
    </row>
    <row r="191" spans="1:26" ht="30" customHeight="1">
      <c r="A191">
        <v>2606656164</v>
      </c>
      <c r="B191">
        <f>COUNTIF(A:A,A191)</f>
        <v>1</v>
      </c>
      <c r="C191" s="1">
        <f t="shared" ca="1" si="12"/>
        <v>23919</v>
      </c>
      <c r="D191" s="1">
        <v>43438</v>
      </c>
      <c r="E191" s="4">
        <f ca="1">DATEDIF(Table1[[#This Row],[DOB]],Table1[[#This Row],[eventDate]],"Y")</f>
        <v>53</v>
      </c>
      <c r="F191" s="4" t="str">
        <f t="shared" si="13"/>
        <v>Woman</v>
      </c>
      <c r="G191" s="4">
        <f ca="1">_xlfn.DAYS(TODAY(),Table1[[#This Row],[eventDate]])</f>
        <v>2675</v>
      </c>
      <c r="H191" t="s">
        <v>32</v>
      </c>
      <c r="I191" t="s">
        <v>28</v>
      </c>
      <c r="J191" t="s">
        <v>29</v>
      </c>
      <c r="K191" s="1">
        <v>43579</v>
      </c>
      <c r="L191">
        <f t="shared" si="14"/>
        <v>141</v>
      </c>
      <c r="M191">
        <f>IF(Table1[[#This Row],[Alive]]="No",Table1[[#This Row],[daysDeath]],Table1[[#This Row],[daysSince]])</f>
        <v>141</v>
      </c>
      <c r="N191">
        <v>113</v>
      </c>
      <c r="O191">
        <v>9.3000000000000007</v>
      </c>
      <c r="P191">
        <v>323</v>
      </c>
      <c r="Q191">
        <v>12</v>
      </c>
      <c r="R191">
        <v>2.6</v>
      </c>
      <c r="S191">
        <v>64</v>
      </c>
      <c r="T191">
        <v>94</v>
      </c>
      <c r="U191">
        <v>22</v>
      </c>
      <c r="V191">
        <v>7</v>
      </c>
      <c r="W191">
        <v>96</v>
      </c>
      <c r="X191" t="s">
        <v>30</v>
      </c>
      <c r="Y191" t="s">
        <v>29</v>
      </c>
      <c r="Z191" t="s">
        <v>29</v>
      </c>
    </row>
    <row r="192" spans="1:26" ht="30" customHeight="1">
      <c r="A192">
        <v>601326210</v>
      </c>
      <c r="B192">
        <f>COUNTIF(A:A,A192)</f>
        <v>1</v>
      </c>
      <c r="C192" s="1">
        <f t="shared" ref="C192:C231" ca="1" si="15">DATE(
    IF(VALUE(MID(TEXT(A192,"0000000000"),5,2)) &gt; VALUE(TEXT(TODAY(),"YY")),
       1900 + VALUE(MID(TEXT(A192,"0000000000"),5,2)),
       2000 + VALUE(MID(TEXT(A192,"0000000000"),5,2))
    ),
    VALUE(MID(TEXT(A192,"0000000000"),3,2)),
    VALUE(LEFT(TEXT(A192,"0000000000"),2))
)</f>
        <v>11694</v>
      </c>
      <c r="D192" s="1">
        <v>43440</v>
      </c>
      <c r="E192" s="4">
        <f ca="1">DATEDIF(Table1[[#This Row],[DOB]],Table1[[#This Row],[eventDate]],"Y")</f>
        <v>86</v>
      </c>
      <c r="F192" s="4" t="str">
        <f t="shared" ref="F192:F232" si="16">IF(MOD(VALUE(MID(TEXT(A192,"0000000000"),9,1)),2)=0,"Woman","Man")</f>
        <v>Man</v>
      </c>
      <c r="G192" s="4">
        <f ca="1">_xlfn.DAYS(TODAY(),Table1[[#This Row],[eventDate]])</f>
        <v>2673</v>
      </c>
      <c r="H192" t="s">
        <v>27</v>
      </c>
      <c r="I192" t="s">
        <v>28</v>
      </c>
      <c r="J192" t="s">
        <v>29</v>
      </c>
      <c r="K192" s="1">
        <v>43638</v>
      </c>
      <c r="L192">
        <f t="shared" ref="L192:L232" si="17">IF(J192="No",_xlfn.DAYS(K192,D192),"")</f>
        <v>198</v>
      </c>
      <c r="M192">
        <f>IF(Table1[[#This Row],[Alive]]="No",Table1[[#This Row],[daysDeath]],Table1[[#This Row],[daysSince]])</f>
        <v>198</v>
      </c>
      <c r="N192">
        <v>124</v>
      </c>
      <c r="O192">
        <v>14.6</v>
      </c>
      <c r="P192">
        <v>213</v>
      </c>
      <c r="Q192">
        <v>15</v>
      </c>
      <c r="R192">
        <v>19.3</v>
      </c>
      <c r="S192">
        <v>251</v>
      </c>
      <c r="T192">
        <v>194</v>
      </c>
      <c r="U192">
        <v>22</v>
      </c>
      <c r="V192">
        <v>162</v>
      </c>
      <c r="W192">
        <v>78</v>
      </c>
      <c r="X192" t="s">
        <v>30</v>
      </c>
      <c r="Y192" t="s">
        <v>31</v>
      </c>
      <c r="Z192" t="s">
        <v>29</v>
      </c>
    </row>
    <row r="193" spans="1:26" ht="30" customHeight="1">
      <c r="A193">
        <v>2512516296</v>
      </c>
      <c r="B193">
        <f>COUNTIF(A:A,A193)</f>
        <v>1</v>
      </c>
      <c r="C193" s="1">
        <f t="shared" ca="1" si="15"/>
        <v>18987</v>
      </c>
      <c r="D193" s="1">
        <v>43454</v>
      </c>
      <c r="E193" s="4">
        <f ca="1">DATEDIF(Table1[[#This Row],[DOB]],Table1[[#This Row],[eventDate]],"Y")</f>
        <v>66</v>
      </c>
      <c r="F193" s="4" t="str">
        <f t="shared" si="16"/>
        <v>Man</v>
      </c>
      <c r="G193" s="4">
        <f ca="1">_xlfn.DAYS(TODAY(),Table1[[#This Row],[eventDate]])</f>
        <v>2659</v>
      </c>
      <c r="H193" t="s">
        <v>27</v>
      </c>
      <c r="I193" t="s">
        <v>34</v>
      </c>
      <c r="J193" t="s">
        <v>29</v>
      </c>
      <c r="K193" s="1">
        <v>43517</v>
      </c>
      <c r="L193">
        <f t="shared" si="17"/>
        <v>63</v>
      </c>
      <c r="M193">
        <f>IF(Table1[[#This Row],[Alive]]="No",Table1[[#This Row],[daysDeath]],Table1[[#This Row],[daysSince]])</f>
        <v>63</v>
      </c>
      <c r="N193">
        <v>130</v>
      </c>
      <c r="O193">
        <v>9</v>
      </c>
      <c r="P193">
        <v>289</v>
      </c>
      <c r="Q193">
        <v>13</v>
      </c>
      <c r="R193">
        <v>5</v>
      </c>
      <c r="S193">
        <v>66</v>
      </c>
      <c r="T193">
        <v>185</v>
      </c>
      <c r="U193">
        <v>33</v>
      </c>
      <c r="V193">
        <v>34</v>
      </c>
      <c r="X193" t="s">
        <v>30</v>
      </c>
      <c r="Y193" t="s">
        <v>31</v>
      </c>
      <c r="Z193" t="s">
        <v>29</v>
      </c>
    </row>
    <row r="194" spans="1:26" ht="30" customHeight="1">
      <c r="A194">
        <v>1310445354</v>
      </c>
      <c r="B194">
        <f>COUNTIF(A:A,A194)</f>
        <v>1</v>
      </c>
      <c r="C194" s="1">
        <f t="shared" ca="1" si="15"/>
        <v>16358</v>
      </c>
      <c r="D194" s="1">
        <v>43454</v>
      </c>
      <c r="E194" s="4">
        <f ca="1">DATEDIF(Table1[[#This Row],[DOB]],Table1[[#This Row],[eventDate]],"Y")</f>
        <v>74</v>
      </c>
      <c r="F194" s="4" t="str">
        <f t="shared" si="16"/>
        <v>Man</v>
      </c>
      <c r="G194" s="4">
        <f ca="1">_xlfn.DAYS(TODAY(),Table1[[#This Row],[eventDate]])</f>
        <v>2659</v>
      </c>
      <c r="H194" t="s">
        <v>32</v>
      </c>
      <c r="I194" t="s">
        <v>28</v>
      </c>
      <c r="J194" t="s">
        <v>29</v>
      </c>
      <c r="K194" s="1">
        <v>43483</v>
      </c>
      <c r="L194">
        <f t="shared" si="17"/>
        <v>29</v>
      </c>
      <c r="M194">
        <f>IF(Table1[[#This Row],[Alive]]="No",Table1[[#This Row],[daysDeath]],Table1[[#This Row],[daysSince]])</f>
        <v>29</v>
      </c>
      <c r="N194">
        <v>105</v>
      </c>
      <c r="O194">
        <v>11.4</v>
      </c>
      <c r="P194">
        <v>292</v>
      </c>
      <c r="Q194">
        <v>12</v>
      </c>
      <c r="R194">
        <v>12.8</v>
      </c>
      <c r="S194">
        <v>63</v>
      </c>
      <c r="T194">
        <v>409</v>
      </c>
      <c r="U194">
        <v>19</v>
      </c>
      <c r="V194">
        <v>73</v>
      </c>
      <c r="W194">
        <v>58</v>
      </c>
      <c r="X194" t="s">
        <v>30</v>
      </c>
      <c r="Y194" t="s">
        <v>31</v>
      </c>
      <c r="Z194" t="s">
        <v>29</v>
      </c>
    </row>
    <row r="195" spans="1:26" ht="30" customHeight="1">
      <c r="A195">
        <v>208615318</v>
      </c>
      <c r="B195">
        <f>COUNTIF(A:A,A195)</f>
        <v>1</v>
      </c>
      <c r="C195" s="1">
        <f t="shared" ca="1" si="15"/>
        <v>22495</v>
      </c>
      <c r="D195" s="1">
        <v>43454</v>
      </c>
      <c r="E195" s="4">
        <f ca="1">DATEDIF(Table1[[#This Row],[DOB]],Table1[[#This Row],[eventDate]],"Y")</f>
        <v>57</v>
      </c>
      <c r="F195" s="4" t="str">
        <f t="shared" si="16"/>
        <v>Man</v>
      </c>
      <c r="G195" s="4">
        <f ca="1">_xlfn.DAYS(TODAY(),Table1[[#This Row],[eventDate]])</f>
        <v>2659</v>
      </c>
      <c r="H195" t="s">
        <v>32</v>
      </c>
      <c r="I195" t="s">
        <v>28</v>
      </c>
      <c r="J195" t="s">
        <v>29</v>
      </c>
      <c r="K195" s="1">
        <v>43478</v>
      </c>
      <c r="L195">
        <f t="shared" si="17"/>
        <v>24</v>
      </c>
      <c r="M195">
        <f>IF(Table1[[#This Row],[Alive]]="No",Table1[[#This Row],[daysDeath]],Table1[[#This Row],[daysSince]])</f>
        <v>24</v>
      </c>
      <c r="N195">
        <v>85</v>
      </c>
      <c r="O195">
        <v>22.4</v>
      </c>
      <c r="P195">
        <v>308</v>
      </c>
      <c r="Q195">
        <v>18</v>
      </c>
      <c r="R195">
        <v>6.4</v>
      </c>
      <c r="S195">
        <v>98</v>
      </c>
      <c r="T195">
        <v>230</v>
      </c>
      <c r="U195">
        <v>10</v>
      </c>
      <c r="V195">
        <v>143</v>
      </c>
      <c r="W195">
        <v>100</v>
      </c>
      <c r="X195" t="s">
        <v>33</v>
      </c>
      <c r="Y195" t="s">
        <v>31</v>
      </c>
      <c r="Z195" t="s">
        <v>31</v>
      </c>
    </row>
    <row r="196" spans="1:26" ht="30" customHeight="1">
      <c r="A196">
        <v>2403506613</v>
      </c>
      <c r="B196">
        <f>COUNTIF(A:A,A196)</f>
        <v>1</v>
      </c>
      <c r="C196" s="1">
        <f t="shared" ca="1" si="15"/>
        <v>18346</v>
      </c>
      <c r="D196" s="1">
        <v>43458</v>
      </c>
      <c r="E196" s="4">
        <f ca="1">DATEDIF(Table1[[#This Row],[DOB]],Table1[[#This Row],[eventDate]],"Y")</f>
        <v>68</v>
      </c>
      <c r="F196" s="4" t="str">
        <f t="shared" si="16"/>
        <v>Man</v>
      </c>
      <c r="G196" s="4">
        <f ca="1">_xlfn.DAYS(TODAY(),Table1[[#This Row],[eventDate]])</f>
        <v>2655</v>
      </c>
      <c r="H196" t="s">
        <v>32</v>
      </c>
      <c r="I196" t="s">
        <v>28</v>
      </c>
      <c r="J196" t="s">
        <v>29</v>
      </c>
      <c r="K196" s="1">
        <v>43528</v>
      </c>
      <c r="L196">
        <f t="shared" si="17"/>
        <v>70</v>
      </c>
      <c r="M196">
        <f>IF(Table1[[#This Row],[Alive]]="No",Table1[[#This Row],[daysDeath]],Table1[[#This Row],[daysSince]])</f>
        <v>70</v>
      </c>
      <c r="N196">
        <v>104</v>
      </c>
      <c r="O196">
        <v>6.7</v>
      </c>
      <c r="P196">
        <v>303</v>
      </c>
      <c r="Q196">
        <v>11</v>
      </c>
      <c r="R196">
        <v>12</v>
      </c>
      <c r="S196">
        <v>52</v>
      </c>
      <c r="T196">
        <v>449</v>
      </c>
      <c r="U196">
        <v>26</v>
      </c>
      <c r="V196">
        <v>8</v>
      </c>
      <c r="W196">
        <v>69</v>
      </c>
      <c r="X196" t="s">
        <v>30</v>
      </c>
      <c r="Y196" t="s">
        <v>31</v>
      </c>
      <c r="Z196" t="s">
        <v>29</v>
      </c>
    </row>
    <row r="197" spans="1:26" ht="30" customHeight="1">
      <c r="A197">
        <v>2107456070</v>
      </c>
      <c r="B197">
        <f>COUNTIF(A:A,A197)</f>
        <v>1</v>
      </c>
      <c r="C197" s="1">
        <f t="shared" ca="1" si="15"/>
        <v>16639</v>
      </c>
      <c r="D197" s="1">
        <v>43467</v>
      </c>
      <c r="E197" s="4">
        <f ca="1">DATEDIF(Table1[[#This Row],[DOB]],Table1[[#This Row],[eventDate]],"Y")</f>
        <v>73</v>
      </c>
      <c r="F197" s="4" t="str">
        <f t="shared" si="16"/>
        <v>Man</v>
      </c>
      <c r="G197" s="4">
        <f ca="1">_xlfn.DAYS(TODAY(),Table1[[#This Row],[eventDate]])</f>
        <v>2646</v>
      </c>
      <c r="H197" t="s">
        <v>38</v>
      </c>
      <c r="I197" t="s">
        <v>28</v>
      </c>
      <c r="J197" t="s">
        <v>29</v>
      </c>
      <c r="K197" s="1">
        <v>44446</v>
      </c>
      <c r="L197">
        <f t="shared" si="17"/>
        <v>979</v>
      </c>
      <c r="M197">
        <f>IF(Table1[[#This Row],[Alive]]="No",Table1[[#This Row],[daysDeath]],Table1[[#This Row],[daysSince]])</f>
        <v>979</v>
      </c>
      <c r="N197">
        <v>84</v>
      </c>
      <c r="O197">
        <v>41.1</v>
      </c>
      <c r="P197">
        <v>180</v>
      </c>
      <c r="Q197">
        <v>20</v>
      </c>
      <c r="R197">
        <v>6.1</v>
      </c>
      <c r="S197">
        <v>110</v>
      </c>
      <c r="T197">
        <v>53</v>
      </c>
      <c r="U197">
        <v>20</v>
      </c>
      <c r="V197">
        <v>99</v>
      </c>
      <c r="W197">
        <v>67.5</v>
      </c>
      <c r="X197" t="s">
        <v>33</v>
      </c>
      <c r="Y197" t="s">
        <v>29</v>
      </c>
      <c r="Z197" t="s">
        <v>29</v>
      </c>
    </row>
    <row r="198" spans="1:26" ht="30" customHeight="1">
      <c r="A198">
        <v>1812446187</v>
      </c>
      <c r="B198">
        <f>COUNTIF(A:A,A198)</f>
        <v>1</v>
      </c>
      <c r="C198" s="1">
        <f t="shared" ca="1" si="15"/>
        <v>16424</v>
      </c>
      <c r="D198" s="1">
        <v>43469</v>
      </c>
      <c r="E198" s="4">
        <f ca="1">DATEDIF(Table1[[#This Row],[DOB]],Table1[[#This Row],[eventDate]],"Y")</f>
        <v>74</v>
      </c>
      <c r="F198" s="4" t="str">
        <f t="shared" si="16"/>
        <v>Woman</v>
      </c>
      <c r="G198" s="4">
        <f ca="1">_xlfn.DAYS(TODAY(),Table1[[#This Row],[eventDate]])</f>
        <v>2644</v>
      </c>
      <c r="H198" t="s">
        <v>32</v>
      </c>
      <c r="I198" t="s">
        <v>34</v>
      </c>
      <c r="J198" t="s">
        <v>29</v>
      </c>
      <c r="K198" s="1">
        <v>43670</v>
      </c>
      <c r="L198">
        <f t="shared" si="17"/>
        <v>201</v>
      </c>
      <c r="M198">
        <f>IF(Table1[[#This Row],[Alive]]="No",Table1[[#This Row],[daysDeath]],Table1[[#This Row],[daysSince]])</f>
        <v>201</v>
      </c>
      <c r="N198">
        <v>115</v>
      </c>
      <c r="O198">
        <v>4.4000000000000004</v>
      </c>
      <c r="P198">
        <v>394</v>
      </c>
      <c r="Q198">
        <v>13</v>
      </c>
      <c r="R198">
        <v>2.2999999999999998</v>
      </c>
      <c r="S198">
        <v>57</v>
      </c>
      <c r="T198">
        <v>334</v>
      </c>
      <c r="U198">
        <v>26</v>
      </c>
      <c r="V198">
        <v>4</v>
      </c>
      <c r="W198">
        <v>59</v>
      </c>
      <c r="X198" t="s">
        <v>30</v>
      </c>
      <c r="Y198" t="s">
        <v>29</v>
      </c>
      <c r="Z198" t="s">
        <v>29</v>
      </c>
    </row>
    <row r="199" spans="1:26" ht="30" customHeight="1">
      <c r="A199">
        <v>1809576083</v>
      </c>
      <c r="B199">
        <f>COUNTIF(A:A,A199)</f>
        <v>1</v>
      </c>
      <c r="C199" s="1">
        <f t="shared" ca="1" si="15"/>
        <v>21081</v>
      </c>
      <c r="D199" s="1">
        <v>43480</v>
      </c>
      <c r="E199" s="4">
        <f ca="1">DATEDIF(Table1[[#This Row],[DOB]],Table1[[#This Row],[eventDate]],"Y")</f>
        <v>61</v>
      </c>
      <c r="F199" s="4" t="str">
        <f t="shared" si="16"/>
        <v>Woman</v>
      </c>
      <c r="G199" s="4">
        <f ca="1">_xlfn.DAYS(TODAY(),Table1[[#This Row],[eventDate]])</f>
        <v>2633</v>
      </c>
      <c r="H199" t="s">
        <v>32</v>
      </c>
      <c r="I199" t="s">
        <v>28</v>
      </c>
      <c r="J199" t="s">
        <v>31</v>
      </c>
      <c r="L199" t="str">
        <f t="shared" si="17"/>
        <v/>
      </c>
      <c r="M199">
        <f ca="1">IF(Table1[[#This Row],[Alive]]="No",Table1[[#This Row],[daysDeath]],Table1[[#This Row],[daysSince]])</f>
        <v>2633</v>
      </c>
      <c r="N199">
        <v>139</v>
      </c>
      <c r="O199">
        <v>13.6</v>
      </c>
      <c r="P199">
        <v>244</v>
      </c>
      <c r="Q199">
        <v>11</v>
      </c>
      <c r="R199">
        <v>4.3</v>
      </c>
      <c r="S199">
        <v>55</v>
      </c>
      <c r="T199">
        <v>13</v>
      </c>
      <c r="U199">
        <v>23</v>
      </c>
      <c r="V199">
        <v>120</v>
      </c>
      <c r="W199">
        <v>70</v>
      </c>
      <c r="X199" t="s">
        <v>33</v>
      </c>
      <c r="Y199" t="s">
        <v>29</v>
      </c>
      <c r="Z199" t="s">
        <v>29</v>
      </c>
    </row>
    <row r="200" spans="1:26" ht="30" customHeight="1">
      <c r="A200">
        <v>1201453011</v>
      </c>
      <c r="B200">
        <f>COUNTIF(A:A,A200)</f>
        <v>1</v>
      </c>
      <c r="C200" s="1">
        <f t="shared" ca="1" si="15"/>
        <v>16449</v>
      </c>
      <c r="D200" s="1">
        <v>43487</v>
      </c>
      <c r="E200" s="4">
        <f ca="1">DATEDIF(Table1[[#This Row],[DOB]],Table1[[#This Row],[eventDate]],"Y")</f>
        <v>74</v>
      </c>
      <c r="F200" s="4" t="str">
        <f t="shared" si="16"/>
        <v>Man</v>
      </c>
      <c r="G200" s="4">
        <f ca="1">_xlfn.DAYS(TODAY(),Table1[[#This Row],[eventDate]])</f>
        <v>2626</v>
      </c>
      <c r="H200" t="s">
        <v>32</v>
      </c>
      <c r="I200" t="s">
        <v>34</v>
      </c>
      <c r="J200" t="s">
        <v>29</v>
      </c>
      <c r="K200" s="1">
        <v>43504</v>
      </c>
      <c r="L200">
        <f t="shared" si="17"/>
        <v>17</v>
      </c>
      <c r="M200">
        <f>IF(Table1[[#This Row],[Alive]]="No",Table1[[#This Row],[daysDeath]],Table1[[#This Row],[daysSince]])</f>
        <v>17</v>
      </c>
      <c r="N200">
        <v>118</v>
      </c>
      <c r="O200">
        <v>10.4</v>
      </c>
      <c r="P200">
        <v>199</v>
      </c>
      <c r="Q200">
        <v>13</v>
      </c>
      <c r="R200">
        <v>8.3000000000000007</v>
      </c>
      <c r="S200">
        <v>88</v>
      </c>
      <c r="T200">
        <v>283</v>
      </c>
      <c r="U200">
        <v>19</v>
      </c>
      <c r="V200">
        <v>123</v>
      </c>
      <c r="W200">
        <v>95</v>
      </c>
      <c r="X200" t="s">
        <v>30</v>
      </c>
      <c r="Y200" t="s">
        <v>31</v>
      </c>
      <c r="Z200" t="s">
        <v>31</v>
      </c>
    </row>
    <row r="201" spans="1:26" ht="30" customHeight="1">
      <c r="A201">
        <v>101465874</v>
      </c>
      <c r="B201">
        <f>COUNTIF(A:A,A201)</f>
        <v>1</v>
      </c>
      <c r="C201" s="1">
        <f t="shared" ca="1" si="15"/>
        <v>16803</v>
      </c>
      <c r="D201" s="1">
        <v>43490</v>
      </c>
      <c r="E201" s="4">
        <f ca="1">DATEDIF(Table1[[#This Row],[DOB]],Table1[[#This Row],[eventDate]],"Y")</f>
        <v>73</v>
      </c>
      <c r="F201" s="4" t="str">
        <f t="shared" si="16"/>
        <v>Man</v>
      </c>
      <c r="G201" s="4">
        <f ca="1">_xlfn.DAYS(TODAY(),Table1[[#This Row],[eventDate]])</f>
        <v>2623</v>
      </c>
      <c r="H201" t="s">
        <v>32</v>
      </c>
      <c r="I201" t="s">
        <v>34</v>
      </c>
      <c r="J201" t="s">
        <v>29</v>
      </c>
      <c r="K201" s="1">
        <v>43563</v>
      </c>
      <c r="L201">
        <f t="shared" si="17"/>
        <v>73</v>
      </c>
      <c r="M201">
        <f>IF(Table1[[#This Row],[Alive]]="No",Table1[[#This Row],[daysDeath]],Table1[[#This Row],[daysSince]])</f>
        <v>73</v>
      </c>
      <c r="N201">
        <v>100</v>
      </c>
      <c r="O201">
        <v>16.2</v>
      </c>
      <c r="P201">
        <v>357</v>
      </c>
      <c r="Q201">
        <v>14</v>
      </c>
      <c r="R201">
        <v>3.5</v>
      </c>
      <c r="S201">
        <v>63</v>
      </c>
      <c r="T201">
        <v>275</v>
      </c>
      <c r="U201">
        <v>18</v>
      </c>
      <c r="V201">
        <v>183</v>
      </c>
      <c r="W201">
        <v>66.900000000000006</v>
      </c>
      <c r="X201" t="s">
        <v>30</v>
      </c>
      <c r="Y201" t="s">
        <v>29</v>
      </c>
      <c r="Z201" t="s">
        <v>29</v>
      </c>
    </row>
    <row r="202" spans="1:26" ht="30" customHeight="1">
      <c r="A202">
        <v>601535235</v>
      </c>
      <c r="B202">
        <f>COUNTIF(A:A,A202)</f>
        <v>1</v>
      </c>
      <c r="C202" s="1">
        <f t="shared" ca="1" si="15"/>
        <v>19365</v>
      </c>
      <c r="D202" s="1">
        <v>43494</v>
      </c>
      <c r="E202" s="4">
        <f ca="1">DATEDIF(Table1[[#This Row],[DOB]],Table1[[#This Row],[eventDate]],"Y")</f>
        <v>66</v>
      </c>
      <c r="F202" s="4" t="str">
        <f t="shared" si="16"/>
        <v>Man</v>
      </c>
      <c r="G202" s="4">
        <f ca="1">_xlfn.DAYS(TODAY(),Table1[[#This Row],[eventDate]])</f>
        <v>2619</v>
      </c>
      <c r="H202" t="s">
        <v>32</v>
      </c>
      <c r="I202" t="s">
        <v>28</v>
      </c>
      <c r="J202" t="s">
        <v>29</v>
      </c>
      <c r="K202" s="1">
        <v>43807</v>
      </c>
      <c r="L202">
        <f t="shared" si="17"/>
        <v>313</v>
      </c>
      <c r="M202">
        <f>IF(Table1[[#This Row],[Alive]]="No",Table1[[#This Row],[daysDeath]],Table1[[#This Row],[daysSince]])</f>
        <v>313</v>
      </c>
      <c r="N202">
        <v>119</v>
      </c>
      <c r="O202">
        <v>7.4</v>
      </c>
      <c r="P202">
        <v>398</v>
      </c>
      <c r="Q202">
        <v>12</v>
      </c>
      <c r="R202">
        <v>4.5999999999999996</v>
      </c>
      <c r="S202">
        <v>80</v>
      </c>
      <c r="T202">
        <v>254</v>
      </c>
      <c r="U202">
        <v>30</v>
      </c>
      <c r="V202">
        <v>30</v>
      </c>
      <c r="W202">
        <v>51.2</v>
      </c>
      <c r="X202" t="s">
        <v>30</v>
      </c>
      <c r="Y202" t="s">
        <v>31</v>
      </c>
      <c r="Z202" t="s">
        <v>29</v>
      </c>
    </row>
    <row r="203" spans="1:26" ht="30" customHeight="1">
      <c r="A203">
        <v>1810553199</v>
      </c>
      <c r="B203">
        <f>COUNTIF(A:A,A203)</f>
        <v>1</v>
      </c>
      <c r="C203" s="1">
        <f t="shared" ca="1" si="15"/>
        <v>20380</v>
      </c>
      <c r="D203" s="1">
        <v>43495</v>
      </c>
      <c r="E203" s="4">
        <f ca="1">DATEDIF(Table1[[#This Row],[DOB]],Table1[[#This Row],[eventDate]],"Y")</f>
        <v>63</v>
      </c>
      <c r="F203" s="4" t="str">
        <f t="shared" si="16"/>
        <v>Man</v>
      </c>
      <c r="G203" s="4">
        <f ca="1">_xlfn.DAYS(TODAY(),Table1[[#This Row],[eventDate]])</f>
        <v>2618</v>
      </c>
      <c r="H203" t="s">
        <v>32</v>
      </c>
      <c r="I203" t="s">
        <v>34</v>
      </c>
      <c r="J203" t="s">
        <v>29</v>
      </c>
      <c r="K203" s="1">
        <v>43542</v>
      </c>
      <c r="L203">
        <f t="shared" si="17"/>
        <v>47</v>
      </c>
      <c r="M203">
        <f>IF(Table1[[#This Row],[Alive]]="No",Table1[[#This Row],[daysDeath]],Table1[[#This Row],[daysSince]])</f>
        <v>47</v>
      </c>
      <c r="N203">
        <v>94</v>
      </c>
      <c r="O203">
        <v>7.5</v>
      </c>
      <c r="P203">
        <v>343</v>
      </c>
      <c r="Q203">
        <v>13</v>
      </c>
      <c r="R203">
        <v>3.9</v>
      </c>
      <c r="S203">
        <v>55</v>
      </c>
      <c r="T203">
        <v>323</v>
      </c>
      <c r="U203">
        <v>23</v>
      </c>
      <c r="V203">
        <v>5</v>
      </c>
      <c r="W203">
        <v>73.900000000000006</v>
      </c>
      <c r="X203" t="s">
        <v>30</v>
      </c>
      <c r="Y203" t="s">
        <v>29</v>
      </c>
      <c r="Z203" t="s">
        <v>29</v>
      </c>
    </row>
    <row r="204" spans="1:26" ht="30" customHeight="1">
      <c r="A204">
        <v>1607636255</v>
      </c>
      <c r="B204">
        <f>COUNTIF(A:A,A204)</f>
        <v>1</v>
      </c>
      <c r="C204" s="1">
        <f t="shared" ca="1" si="15"/>
        <v>23208</v>
      </c>
      <c r="D204" s="1">
        <v>43497</v>
      </c>
      <c r="E204" s="4">
        <f ca="1">DATEDIF(Table1[[#This Row],[DOB]],Table1[[#This Row],[eventDate]],"Y")</f>
        <v>55</v>
      </c>
      <c r="F204" s="4" t="str">
        <f t="shared" si="16"/>
        <v>Man</v>
      </c>
      <c r="G204" s="4">
        <f ca="1">_xlfn.DAYS(TODAY(),Table1[[#This Row],[eventDate]])</f>
        <v>2616</v>
      </c>
      <c r="H204" t="s">
        <v>32</v>
      </c>
      <c r="I204" t="s">
        <v>34</v>
      </c>
      <c r="J204" t="s">
        <v>29</v>
      </c>
      <c r="K204" s="1">
        <v>43547</v>
      </c>
      <c r="L204">
        <f t="shared" si="17"/>
        <v>50</v>
      </c>
      <c r="M204">
        <f>IF(Table1[[#This Row],[Alive]]="No",Table1[[#This Row],[daysDeath]],Table1[[#This Row],[daysSince]])</f>
        <v>50</v>
      </c>
      <c r="N204">
        <v>99</v>
      </c>
      <c r="O204">
        <v>13.4</v>
      </c>
      <c r="P204">
        <v>219</v>
      </c>
      <c r="Q204">
        <v>14</v>
      </c>
      <c r="R204">
        <v>3.7</v>
      </c>
      <c r="S204">
        <v>47</v>
      </c>
      <c r="T204">
        <v>324</v>
      </c>
      <c r="U204">
        <v>19</v>
      </c>
      <c r="V204">
        <v>125</v>
      </c>
      <c r="X204" t="s">
        <v>30</v>
      </c>
      <c r="Y204" t="s">
        <v>31</v>
      </c>
      <c r="Z204" t="s">
        <v>29</v>
      </c>
    </row>
    <row r="205" spans="1:26" ht="30" customHeight="1">
      <c r="A205">
        <v>2411403038</v>
      </c>
      <c r="B205">
        <f>COUNTIF(A:A,A205)</f>
        <v>1</v>
      </c>
      <c r="C205" s="1">
        <f t="shared" ca="1" si="15"/>
        <v>14939</v>
      </c>
      <c r="D205" s="1">
        <v>43502</v>
      </c>
      <c r="E205" s="4">
        <f ca="1">DATEDIF(Table1[[#This Row],[DOB]],Table1[[#This Row],[eventDate]],"Y")</f>
        <v>78</v>
      </c>
      <c r="F205" s="4" t="str">
        <f t="shared" si="16"/>
        <v>Man</v>
      </c>
      <c r="G205" s="4">
        <f ca="1">_xlfn.DAYS(TODAY(),Table1[[#This Row],[eventDate]])</f>
        <v>2611</v>
      </c>
      <c r="H205" t="s">
        <v>36</v>
      </c>
      <c r="I205" t="s">
        <v>34</v>
      </c>
      <c r="J205" t="s">
        <v>29</v>
      </c>
      <c r="K205" s="1">
        <v>43739</v>
      </c>
      <c r="L205">
        <f t="shared" si="17"/>
        <v>237</v>
      </c>
      <c r="M205">
        <f>IF(Table1[[#This Row],[Alive]]="No",Table1[[#This Row],[daysDeath]],Table1[[#This Row],[daysSince]])</f>
        <v>237</v>
      </c>
      <c r="N205">
        <v>139</v>
      </c>
      <c r="O205">
        <v>5.9</v>
      </c>
      <c r="P205">
        <v>189</v>
      </c>
      <c r="Q205">
        <v>12</v>
      </c>
      <c r="R205">
        <v>2.8</v>
      </c>
      <c r="S205">
        <v>63</v>
      </c>
      <c r="T205">
        <v>224</v>
      </c>
      <c r="U205">
        <v>29</v>
      </c>
      <c r="V205">
        <v>41</v>
      </c>
      <c r="W205">
        <v>83</v>
      </c>
      <c r="X205" t="s">
        <v>30</v>
      </c>
      <c r="Y205" t="s">
        <v>29</v>
      </c>
      <c r="Z205" t="s">
        <v>29</v>
      </c>
    </row>
    <row r="206" spans="1:26" ht="30" customHeight="1">
      <c r="A206">
        <v>1402425473</v>
      </c>
      <c r="B206">
        <f>COUNTIF(A:A,A206)</f>
        <v>1</v>
      </c>
      <c r="C206" s="1">
        <f t="shared" ca="1" si="15"/>
        <v>15386</v>
      </c>
      <c r="D206" s="1">
        <v>43509</v>
      </c>
      <c r="E206" s="4">
        <f ca="1">DATEDIF(Table1[[#This Row],[DOB]],Table1[[#This Row],[eventDate]],"Y")</f>
        <v>76</v>
      </c>
      <c r="F206" s="4" t="str">
        <f t="shared" si="16"/>
        <v>Man</v>
      </c>
      <c r="G206" s="4">
        <f ca="1">_xlfn.DAYS(TODAY(),Table1[[#This Row],[eventDate]])</f>
        <v>2604</v>
      </c>
      <c r="H206" t="s">
        <v>32</v>
      </c>
      <c r="I206" t="s">
        <v>34</v>
      </c>
      <c r="J206" t="s">
        <v>29</v>
      </c>
      <c r="K206" s="1">
        <v>43718</v>
      </c>
      <c r="L206">
        <f t="shared" si="17"/>
        <v>209</v>
      </c>
      <c r="M206">
        <f>IF(Table1[[#This Row],[Alive]]="No",Table1[[#This Row],[daysDeath]],Table1[[#This Row],[daysSince]])</f>
        <v>209</v>
      </c>
      <c r="N206">
        <v>118</v>
      </c>
      <c r="O206">
        <v>12.8</v>
      </c>
      <c r="P206">
        <v>365</v>
      </c>
      <c r="Q206">
        <v>14</v>
      </c>
      <c r="R206">
        <v>4</v>
      </c>
      <c r="S206">
        <v>57</v>
      </c>
      <c r="T206">
        <v>325</v>
      </c>
      <c r="U206">
        <v>22</v>
      </c>
      <c r="V206">
        <v>16</v>
      </c>
      <c r="X206" t="s">
        <v>30</v>
      </c>
      <c r="Y206" t="s">
        <v>29</v>
      </c>
      <c r="Z206" t="s">
        <v>29</v>
      </c>
    </row>
    <row r="207" spans="1:26" ht="30" customHeight="1">
      <c r="A207">
        <v>601456211</v>
      </c>
      <c r="B207">
        <f>COUNTIF(A:A,A207)</f>
        <v>1</v>
      </c>
      <c r="C207" s="1">
        <f t="shared" ca="1" si="15"/>
        <v>16443</v>
      </c>
      <c r="D207" s="1">
        <v>43509</v>
      </c>
      <c r="E207" s="4">
        <f ca="1">DATEDIF(Table1[[#This Row],[DOB]],Table1[[#This Row],[eventDate]],"Y")</f>
        <v>74</v>
      </c>
      <c r="F207" s="4" t="str">
        <f t="shared" si="16"/>
        <v>Man</v>
      </c>
      <c r="G207" s="4">
        <f ca="1">_xlfn.DAYS(TODAY(),Table1[[#This Row],[eventDate]])</f>
        <v>2604</v>
      </c>
      <c r="H207" t="s">
        <v>36</v>
      </c>
      <c r="I207" t="s">
        <v>34</v>
      </c>
      <c r="J207" t="s">
        <v>29</v>
      </c>
      <c r="K207" s="1">
        <v>43968</v>
      </c>
      <c r="L207">
        <f t="shared" si="17"/>
        <v>459</v>
      </c>
      <c r="M207">
        <f>IF(Table1[[#This Row],[Alive]]="No",Table1[[#This Row],[daysDeath]],Table1[[#This Row],[daysSince]])</f>
        <v>459</v>
      </c>
      <c r="N207">
        <v>119</v>
      </c>
      <c r="O207">
        <v>9.6</v>
      </c>
      <c r="P207">
        <v>488</v>
      </c>
      <c r="Q207">
        <v>12</v>
      </c>
      <c r="R207">
        <v>6.6</v>
      </c>
      <c r="S207">
        <v>96</v>
      </c>
      <c r="T207">
        <v>28</v>
      </c>
      <c r="U207">
        <v>29</v>
      </c>
      <c r="V207">
        <v>120</v>
      </c>
      <c r="W207">
        <v>55.7</v>
      </c>
      <c r="X207" t="s">
        <v>30</v>
      </c>
      <c r="Y207" t="s">
        <v>29</v>
      </c>
      <c r="Z207" t="s">
        <v>29</v>
      </c>
    </row>
    <row r="208" spans="1:26" ht="30" customHeight="1">
      <c r="A208">
        <v>204473160</v>
      </c>
      <c r="B208">
        <f>COUNTIF(A:A,A208)</f>
        <v>1</v>
      </c>
      <c r="C208" s="1">
        <f t="shared" ca="1" si="15"/>
        <v>17259</v>
      </c>
      <c r="D208" s="1">
        <v>43515</v>
      </c>
      <c r="E208" s="4">
        <f ca="1">DATEDIF(Table1[[#This Row],[DOB]],Table1[[#This Row],[eventDate]],"Y")</f>
        <v>71</v>
      </c>
      <c r="F208" s="4" t="str">
        <f t="shared" si="16"/>
        <v>Woman</v>
      </c>
      <c r="G208" s="4">
        <f ca="1">_xlfn.DAYS(TODAY(),Table1[[#This Row],[eventDate]])</f>
        <v>2598</v>
      </c>
      <c r="H208" t="s">
        <v>32</v>
      </c>
      <c r="I208" t="s">
        <v>28</v>
      </c>
      <c r="J208" t="s">
        <v>29</v>
      </c>
      <c r="K208" s="1">
        <v>43639</v>
      </c>
      <c r="L208">
        <f t="shared" si="17"/>
        <v>124</v>
      </c>
      <c r="M208">
        <f>IF(Table1[[#This Row],[Alive]]="No",Table1[[#This Row],[daysDeath]],Table1[[#This Row],[daysSince]])</f>
        <v>124</v>
      </c>
      <c r="N208">
        <v>77</v>
      </c>
      <c r="O208">
        <v>7</v>
      </c>
      <c r="P208">
        <v>547</v>
      </c>
      <c r="Q208">
        <v>11</v>
      </c>
      <c r="R208">
        <v>3.5</v>
      </c>
      <c r="S208">
        <v>57</v>
      </c>
      <c r="T208">
        <v>416</v>
      </c>
      <c r="U208">
        <v>21</v>
      </c>
      <c r="V208">
        <v>5</v>
      </c>
      <c r="W208">
        <v>65</v>
      </c>
      <c r="X208" t="s">
        <v>30</v>
      </c>
      <c r="Y208" t="s">
        <v>31</v>
      </c>
      <c r="Z208" t="s">
        <v>29</v>
      </c>
    </row>
    <row r="209" spans="1:27" ht="30" customHeight="1">
      <c r="A209">
        <v>1108363032</v>
      </c>
      <c r="B209">
        <f>COUNTIF(A:A,A209)</f>
        <v>1</v>
      </c>
      <c r="C209" s="1">
        <f t="shared" ca="1" si="15"/>
        <v>13373</v>
      </c>
      <c r="D209" s="1">
        <v>43524</v>
      </c>
      <c r="E209" s="4">
        <f ca="1">DATEDIF(Table1[[#This Row],[DOB]],Table1[[#This Row],[eventDate]],"Y")</f>
        <v>82</v>
      </c>
      <c r="F209" s="4" t="str">
        <f t="shared" si="16"/>
        <v>Man</v>
      </c>
      <c r="G209" s="4">
        <f ca="1">_xlfn.DAYS(TODAY(),Table1[[#This Row],[eventDate]])</f>
        <v>2589</v>
      </c>
      <c r="H209" t="s">
        <v>32</v>
      </c>
      <c r="I209" t="s">
        <v>34</v>
      </c>
      <c r="J209" t="s">
        <v>29</v>
      </c>
      <c r="K209" s="1">
        <v>43580</v>
      </c>
      <c r="L209">
        <f t="shared" si="17"/>
        <v>56</v>
      </c>
      <c r="M209">
        <f>IF(Table1[[#This Row],[Alive]]="No",Table1[[#This Row],[daysDeath]],Table1[[#This Row],[daysSince]])</f>
        <v>56</v>
      </c>
      <c r="N209">
        <v>108</v>
      </c>
      <c r="O209">
        <v>8.4</v>
      </c>
      <c r="P209">
        <v>311</v>
      </c>
      <c r="Q209">
        <v>16</v>
      </c>
      <c r="R209">
        <v>4.2</v>
      </c>
      <c r="S209">
        <v>45</v>
      </c>
      <c r="T209">
        <v>119</v>
      </c>
      <c r="U209">
        <v>26</v>
      </c>
      <c r="V209">
        <v>34</v>
      </c>
      <c r="W209">
        <v>63.6</v>
      </c>
      <c r="X209" t="s">
        <v>30</v>
      </c>
      <c r="Y209" t="s">
        <v>31</v>
      </c>
      <c r="Z209" t="s">
        <v>29</v>
      </c>
    </row>
    <row r="210" spans="1:27" ht="30" customHeight="1">
      <c r="A210">
        <v>1107546338</v>
      </c>
      <c r="B210">
        <f>COUNTIF(A:A,A210)</f>
        <v>1</v>
      </c>
      <c r="C210" s="1">
        <f t="shared" ca="1" si="15"/>
        <v>19916</v>
      </c>
      <c r="D210" s="1">
        <v>43543</v>
      </c>
      <c r="E210" s="4">
        <f ca="1">DATEDIF(Table1[[#This Row],[DOB]],Table1[[#This Row],[eventDate]],"Y")</f>
        <v>64</v>
      </c>
      <c r="F210" s="4" t="str">
        <f t="shared" si="16"/>
        <v>Man</v>
      </c>
      <c r="G210" s="4">
        <f ca="1">_xlfn.DAYS(TODAY(),Table1[[#This Row],[eventDate]])</f>
        <v>2570</v>
      </c>
      <c r="H210" t="s">
        <v>32</v>
      </c>
      <c r="I210" t="s">
        <v>28</v>
      </c>
      <c r="J210" t="s">
        <v>29</v>
      </c>
      <c r="K210" s="1">
        <v>43833</v>
      </c>
      <c r="L210">
        <f t="shared" si="17"/>
        <v>290</v>
      </c>
      <c r="M210">
        <f>IF(Table1[[#This Row],[Alive]]="No",Table1[[#This Row],[daysDeath]],Table1[[#This Row],[daysSince]])</f>
        <v>290</v>
      </c>
      <c r="N210">
        <v>113</v>
      </c>
      <c r="O210">
        <v>11.6</v>
      </c>
      <c r="P210">
        <v>332</v>
      </c>
      <c r="Q210">
        <v>13</v>
      </c>
      <c r="R210">
        <v>3.5</v>
      </c>
      <c r="S210">
        <v>61</v>
      </c>
      <c r="T210">
        <v>210</v>
      </c>
      <c r="U210">
        <v>24</v>
      </c>
      <c r="V210">
        <v>98</v>
      </c>
      <c r="W210">
        <v>78</v>
      </c>
      <c r="X210" t="s">
        <v>30</v>
      </c>
      <c r="Y210" t="s">
        <v>31</v>
      </c>
      <c r="Z210" t="s">
        <v>42</v>
      </c>
    </row>
    <row r="211" spans="1:27" ht="30" customHeight="1">
      <c r="A211">
        <v>709466218</v>
      </c>
      <c r="B211">
        <f>COUNTIF(A:A,A211)</f>
        <v>1</v>
      </c>
      <c r="C211" s="1">
        <f t="shared" ca="1" si="15"/>
        <v>17052</v>
      </c>
      <c r="D211" s="1">
        <v>43557</v>
      </c>
      <c r="E211" s="4">
        <f ca="1">DATEDIF(Table1[[#This Row],[DOB]],Table1[[#This Row],[eventDate]],"Y")</f>
        <v>72</v>
      </c>
      <c r="F211" s="4" t="str">
        <f t="shared" si="16"/>
        <v>Man</v>
      </c>
      <c r="G211" s="4">
        <f ca="1">_xlfn.DAYS(TODAY(),Table1[[#This Row],[eventDate]])</f>
        <v>2556</v>
      </c>
      <c r="H211" t="s">
        <v>32</v>
      </c>
      <c r="I211" t="s">
        <v>34</v>
      </c>
      <c r="J211" t="s">
        <v>29</v>
      </c>
      <c r="K211" s="1">
        <v>43726</v>
      </c>
      <c r="L211">
        <f t="shared" si="17"/>
        <v>169</v>
      </c>
      <c r="M211">
        <f>IF(Table1[[#This Row],[Alive]]="No",Table1[[#This Row],[daysDeath]],Table1[[#This Row],[daysSince]])</f>
        <v>169</v>
      </c>
      <c r="N211">
        <v>151</v>
      </c>
      <c r="O211">
        <v>8.6</v>
      </c>
      <c r="P211">
        <v>367</v>
      </c>
      <c r="Q211">
        <v>13</v>
      </c>
      <c r="R211">
        <v>2.5</v>
      </c>
      <c r="S211">
        <v>56</v>
      </c>
      <c r="T211">
        <v>108</v>
      </c>
      <c r="U211">
        <v>31</v>
      </c>
      <c r="V211">
        <v>31</v>
      </c>
      <c r="W211">
        <v>77</v>
      </c>
      <c r="X211" t="s">
        <v>30</v>
      </c>
      <c r="Y211" t="s">
        <v>29</v>
      </c>
      <c r="Z211" t="s">
        <v>42</v>
      </c>
    </row>
    <row r="212" spans="1:27" ht="30" customHeight="1">
      <c r="A212">
        <v>1701445190</v>
      </c>
      <c r="B212">
        <f>COUNTIF(A:A,A212)</f>
        <v>1</v>
      </c>
      <c r="C212" s="1">
        <f t="shared" ca="1" si="15"/>
        <v>16088</v>
      </c>
      <c r="D212" s="1">
        <v>43560</v>
      </c>
      <c r="E212" s="4">
        <f ca="1">DATEDIF(Table1[[#This Row],[DOB]],Table1[[#This Row],[eventDate]],"Y")</f>
        <v>75</v>
      </c>
      <c r="F212" s="4" t="str">
        <f t="shared" si="16"/>
        <v>Man</v>
      </c>
      <c r="G212" s="4">
        <f ca="1">_xlfn.DAYS(TODAY(),Table1[[#This Row],[eventDate]])</f>
        <v>2553</v>
      </c>
      <c r="H212" t="s">
        <v>27</v>
      </c>
      <c r="I212" t="s">
        <v>28</v>
      </c>
      <c r="J212" t="s">
        <v>29</v>
      </c>
      <c r="K212" s="1">
        <v>43668</v>
      </c>
      <c r="L212">
        <f t="shared" si="17"/>
        <v>108</v>
      </c>
      <c r="M212">
        <f>IF(Table1[[#This Row],[Alive]]="No",Table1[[#This Row],[daysDeath]],Table1[[#This Row],[daysSince]])</f>
        <v>108</v>
      </c>
      <c r="N212">
        <v>107</v>
      </c>
      <c r="O212">
        <v>8.1999999999999993</v>
      </c>
      <c r="P212">
        <v>440</v>
      </c>
      <c r="Q212">
        <v>14</v>
      </c>
      <c r="R212">
        <v>2.8</v>
      </c>
      <c r="S212">
        <v>43</v>
      </c>
      <c r="T212">
        <v>296</v>
      </c>
      <c r="U212">
        <v>21</v>
      </c>
      <c r="V212">
        <v>35</v>
      </c>
      <c r="W212">
        <v>73</v>
      </c>
      <c r="X212" t="s">
        <v>30</v>
      </c>
      <c r="Y212" t="s">
        <v>31</v>
      </c>
      <c r="Z212" t="s">
        <v>29</v>
      </c>
    </row>
    <row r="213" spans="1:27" ht="30" customHeight="1">
      <c r="A213">
        <v>310606799</v>
      </c>
      <c r="B213">
        <f>COUNTIF(A:A,A213)</f>
        <v>1</v>
      </c>
      <c r="C213" s="1">
        <f t="shared" ca="1" si="15"/>
        <v>22192</v>
      </c>
      <c r="D213" s="1">
        <v>43566</v>
      </c>
      <c r="E213" s="4">
        <f ca="1">DATEDIF(Table1[[#This Row],[DOB]],Table1[[#This Row],[eventDate]],"Y")</f>
        <v>58</v>
      </c>
      <c r="F213" s="4" t="str">
        <f t="shared" si="16"/>
        <v>Man</v>
      </c>
      <c r="G213" s="4">
        <f ca="1">_xlfn.DAYS(TODAY(),Table1[[#This Row],[eventDate]])</f>
        <v>2547</v>
      </c>
      <c r="H213" t="s">
        <v>27</v>
      </c>
      <c r="I213" t="s">
        <v>28</v>
      </c>
      <c r="J213" t="s">
        <v>29</v>
      </c>
      <c r="K213" s="1">
        <v>44456</v>
      </c>
      <c r="L213">
        <f t="shared" si="17"/>
        <v>890</v>
      </c>
      <c r="M213">
        <f>IF(Table1[[#This Row],[Alive]]="No",Table1[[#This Row],[daysDeath]],Table1[[#This Row],[daysSince]])</f>
        <v>890</v>
      </c>
      <c r="N213">
        <v>126</v>
      </c>
      <c r="O213">
        <v>6.8</v>
      </c>
      <c r="P213">
        <v>175</v>
      </c>
      <c r="Q213">
        <v>12</v>
      </c>
      <c r="R213">
        <v>4.4000000000000004</v>
      </c>
      <c r="S213">
        <v>57</v>
      </c>
      <c r="T213">
        <v>62</v>
      </c>
      <c r="U213">
        <v>37</v>
      </c>
      <c r="V213">
        <v>30</v>
      </c>
      <c r="W213">
        <v>62.5</v>
      </c>
      <c r="X213" t="s">
        <v>33</v>
      </c>
      <c r="Y213" t="s">
        <v>31</v>
      </c>
      <c r="Z213" t="s">
        <v>29</v>
      </c>
    </row>
    <row r="214" spans="1:27" ht="30" customHeight="1">
      <c r="A214">
        <v>2006705059</v>
      </c>
      <c r="B214">
        <f>COUNTIF(A:A,A214)</f>
        <v>1</v>
      </c>
      <c r="C214" s="1">
        <f t="shared" ca="1" si="15"/>
        <v>25739</v>
      </c>
      <c r="D214" s="1">
        <v>43608</v>
      </c>
      <c r="E214" s="4">
        <f ca="1">DATEDIF(Table1[[#This Row],[DOB]],Table1[[#This Row],[eventDate]],"Y")</f>
        <v>48</v>
      </c>
      <c r="F214" s="4" t="str">
        <f t="shared" si="16"/>
        <v>Man</v>
      </c>
      <c r="G214" s="4">
        <f ca="1">_xlfn.DAYS(TODAY(),Table1[[#This Row],[eventDate]])</f>
        <v>2505</v>
      </c>
      <c r="H214" t="s">
        <v>27</v>
      </c>
      <c r="I214" t="s">
        <v>34</v>
      </c>
      <c r="J214" t="s">
        <v>29</v>
      </c>
      <c r="K214" s="1">
        <v>43685</v>
      </c>
      <c r="L214">
        <f t="shared" si="17"/>
        <v>77</v>
      </c>
      <c r="M214">
        <f>IF(Table1[[#This Row],[Alive]]="No",Table1[[#This Row],[daysDeath]],Table1[[#This Row],[daysSince]])</f>
        <v>77</v>
      </c>
      <c r="N214">
        <v>76</v>
      </c>
      <c r="O214">
        <v>12.3</v>
      </c>
      <c r="P214">
        <v>580</v>
      </c>
      <c r="Q214">
        <v>14</v>
      </c>
      <c r="R214">
        <v>4</v>
      </c>
      <c r="S214">
        <v>37</v>
      </c>
      <c r="T214">
        <v>202</v>
      </c>
      <c r="U214">
        <v>20</v>
      </c>
      <c r="V214">
        <v>54</v>
      </c>
      <c r="W214">
        <v>70</v>
      </c>
      <c r="X214" t="s">
        <v>30</v>
      </c>
      <c r="Y214" t="s">
        <v>31</v>
      </c>
      <c r="Z214" t="s">
        <v>29</v>
      </c>
    </row>
    <row r="215" spans="1:27" ht="30" customHeight="1">
      <c r="A215">
        <v>910563578</v>
      </c>
      <c r="B215">
        <f>COUNTIF(A:A,A215)</f>
        <v>1</v>
      </c>
      <c r="C215" s="1">
        <f t="shared" ca="1" si="15"/>
        <v>20737</v>
      </c>
      <c r="D215" s="1">
        <v>43627</v>
      </c>
      <c r="E215" s="4">
        <f ca="1">DATEDIF(Table1[[#This Row],[DOB]],Table1[[#This Row],[eventDate]],"Y")</f>
        <v>62</v>
      </c>
      <c r="F215" s="4" t="str">
        <f t="shared" si="16"/>
        <v>Man</v>
      </c>
      <c r="G215" s="4">
        <f ca="1">_xlfn.DAYS(TODAY(),Table1[[#This Row],[eventDate]])</f>
        <v>2486</v>
      </c>
      <c r="H215" t="s">
        <v>27</v>
      </c>
      <c r="I215" t="s">
        <v>28</v>
      </c>
      <c r="J215" t="s">
        <v>29</v>
      </c>
      <c r="K215" s="1">
        <v>43700</v>
      </c>
      <c r="L215">
        <f t="shared" si="17"/>
        <v>73</v>
      </c>
      <c r="M215">
        <f>IF(Table1[[#This Row],[Alive]]="No",Table1[[#This Row],[daysDeath]],Table1[[#This Row],[daysSince]])</f>
        <v>73</v>
      </c>
      <c r="N215">
        <v>130</v>
      </c>
      <c r="O215">
        <v>7.7</v>
      </c>
      <c r="P215">
        <v>253</v>
      </c>
      <c r="Q215">
        <v>12</v>
      </c>
      <c r="R215">
        <v>5.2</v>
      </c>
      <c r="S215">
        <v>56</v>
      </c>
      <c r="T215">
        <v>324</v>
      </c>
      <c r="U215">
        <v>31</v>
      </c>
      <c r="V215">
        <v>15</v>
      </c>
      <c r="W215">
        <v>67</v>
      </c>
      <c r="X215" t="s">
        <v>30</v>
      </c>
      <c r="Y215" t="s">
        <v>31</v>
      </c>
      <c r="Z215" t="s">
        <v>29</v>
      </c>
    </row>
    <row r="216" spans="1:27" ht="30" customHeight="1">
      <c r="A216">
        <v>1806626829</v>
      </c>
      <c r="B216">
        <f>COUNTIF(A:A,A216)</f>
        <v>1</v>
      </c>
      <c r="C216" s="1">
        <f t="shared" ca="1" si="15"/>
        <v>22815</v>
      </c>
      <c r="D216" s="1">
        <v>43636</v>
      </c>
      <c r="E216" s="4">
        <f ca="1">DATEDIF(Table1[[#This Row],[DOB]],Table1[[#This Row],[eventDate]],"Y")</f>
        <v>57</v>
      </c>
      <c r="F216" s="4" t="str">
        <f t="shared" si="16"/>
        <v>Woman</v>
      </c>
      <c r="G216" s="4">
        <f ca="1">_xlfn.DAYS(TODAY(),Table1[[#This Row],[eventDate]])</f>
        <v>2477</v>
      </c>
      <c r="H216" t="s">
        <v>32</v>
      </c>
      <c r="I216" t="s">
        <v>28</v>
      </c>
      <c r="J216" t="s">
        <v>31</v>
      </c>
      <c r="L216" t="str">
        <f t="shared" si="17"/>
        <v/>
      </c>
      <c r="M216">
        <f ca="1">IF(Table1[[#This Row],[Alive]]="No",Table1[[#This Row],[daysDeath]],Table1[[#This Row],[daysSince]])</f>
        <v>2477</v>
      </c>
      <c r="N216">
        <v>126</v>
      </c>
      <c r="O216">
        <v>4</v>
      </c>
      <c r="P216">
        <v>220</v>
      </c>
      <c r="Q216">
        <v>11</v>
      </c>
      <c r="R216">
        <v>4.5999999999999996</v>
      </c>
      <c r="S216">
        <v>56</v>
      </c>
      <c r="T216">
        <v>23</v>
      </c>
      <c r="U216">
        <v>38</v>
      </c>
      <c r="V216">
        <v>3</v>
      </c>
      <c r="W216">
        <v>58</v>
      </c>
      <c r="X216" t="s">
        <v>33</v>
      </c>
      <c r="Y216" t="s">
        <v>29</v>
      </c>
      <c r="Z216" t="s">
        <v>29</v>
      </c>
    </row>
    <row r="217" spans="1:27" ht="30" customHeight="1">
      <c r="A217">
        <v>1104436477</v>
      </c>
      <c r="B217">
        <f>COUNTIF(A:A,A217)</f>
        <v>1</v>
      </c>
      <c r="C217" s="1">
        <f t="shared" ca="1" si="15"/>
        <v>15807</v>
      </c>
      <c r="D217" s="1">
        <v>43650</v>
      </c>
      <c r="E217" s="4">
        <f ca="1">DATEDIF(Table1[[#This Row],[DOB]],Table1[[#This Row],[eventDate]],"Y")</f>
        <v>76</v>
      </c>
      <c r="F217" s="4" t="str">
        <f t="shared" si="16"/>
        <v>Man</v>
      </c>
      <c r="G217" s="4">
        <f ca="1">_xlfn.DAYS(TODAY(),Table1[[#This Row],[eventDate]])</f>
        <v>2463</v>
      </c>
      <c r="H217" t="s">
        <v>32</v>
      </c>
      <c r="I217" t="s">
        <v>28</v>
      </c>
      <c r="J217" t="s">
        <v>29</v>
      </c>
      <c r="K217" s="1">
        <v>44224</v>
      </c>
      <c r="L217">
        <f t="shared" si="17"/>
        <v>574</v>
      </c>
      <c r="M217">
        <f>IF(Table1[[#This Row],[Alive]]="No",Table1[[#This Row],[daysDeath]],Table1[[#This Row],[daysSince]])</f>
        <v>574</v>
      </c>
      <c r="N217">
        <v>100</v>
      </c>
      <c r="O217">
        <v>5.2</v>
      </c>
      <c r="P217">
        <v>206</v>
      </c>
      <c r="Q217">
        <v>11</v>
      </c>
      <c r="R217">
        <v>4</v>
      </c>
      <c r="S217">
        <v>90</v>
      </c>
      <c r="T217">
        <v>324</v>
      </c>
      <c r="U217">
        <v>18</v>
      </c>
      <c r="V217">
        <v>2</v>
      </c>
      <c r="W217">
        <v>81</v>
      </c>
      <c r="X217" t="s">
        <v>30</v>
      </c>
      <c r="Y217" t="s">
        <v>29</v>
      </c>
      <c r="Z217" t="s">
        <v>29</v>
      </c>
    </row>
    <row r="218" spans="1:27" ht="30" customHeight="1">
      <c r="A218">
        <v>912336218</v>
      </c>
      <c r="B218">
        <f>COUNTIF(A:A,A218)</f>
        <v>1</v>
      </c>
      <c r="C218" s="1">
        <f t="shared" ca="1" si="15"/>
        <v>12397</v>
      </c>
      <c r="D218" s="1">
        <v>43683</v>
      </c>
      <c r="E218" s="4">
        <f ca="1">DATEDIF(Table1[[#This Row],[DOB]],Table1[[#This Row],[eventDate]],"Y")</f>
        <v>85</v>
      </c>
      <c r="F218" s="4" t="str">
        <f t="shared" si="16"/>
        <v>Man</v>
      </c>
      <c r="G218" s="4">
        <f ca="1">_xlfn.DAYS(TODAY(),Table1[[#This Row],[eventDate]])</f>
        <v>2430</v>
      </c>
      <c r="H218" t="s">
        <v>32</v>
      </c>
      <c r="I218" t="s">
        <v>34</v>
      </c>
      <c r="J218" t="s">
        <v>29</v>
      </c>
      <c r="K218" s="1">
        <v>43689</v>
      </c>
      <c r="L218">
        <f t="shared" si="17"/>
        <v>6</v>
      </c>
      <c r="M218">
        <f>IF(Table1[[#This Row],[Alive]]="No",Table1[[#This Row],[daysDeath]],Table1[[#This Row],[daysSince]])</f>
        <v>6</v>
      </c>
      <c r="N218">
        <v>129</v>
      </c>
      <c r="O218">
        <v>11.3</v>
      </c>
      <c r="P218">
        <v>263</v>
      </c>
      <c r="Q218">
        <v>13</v>
      </c>
      <c r="R218">
        <v>8.6999999999999993</v>
      </c>
      <c r="S218">
        <v>129</v>
      </c>
      <c r="T218">
        <v>656</v>
      </c>
      <c r="U218">
        <v>20</v>
      </c>
      <c r="V218">
        <v>48</v>
      </c>
      <c r="W218">
        <v>80</v>
      </c>
      <c r="X218" t="s">
        <v>30</v>
      </c>
      <c r="Y218" t="s">
        <v>31</v>
      </c>
      <c r="Z218" t="s">
        <v>31</v>
      </c>
      <c r="AA218" t="s">
        <v>43</v>
      </c>
    </row>
    <row r="219" spans="1:27" ht="30" customHeight="1">
      <c r="A219">
        <v>107670879</v>
      </c>
      <c r="B219">
        <f>COUNTIF(A:A,A219)</f>
        <v>1</v>
      </c>
      <c r="C219" s="1">
        <f t="shared" ca="1" si="15"/>
        <v>24654</v>
      </c>
      <c r="D219" s="1">
        <v>43685</v>
      </c>
      <c r="E219" s="4">
        <f ca="1">DATEDIF(Table1[[#This Row],[DOB]],Table1[[#This Row],[eventDate]],"Y")</f>
        <v>52</v>
      </c>
      <c r="F219" s="4" t="str">
        <f t="shared" si="16"/>
        <v>Man</v>
      </c>
      <c r="G219" s="4">
        <f ca="1">_xlfn.DAYS(TODAY(),Table1[[#This Row],[eventDate]])</f>
        <v>2428</v>
      </c>
      <c r="H219" t="s">
        <v>27</v>
      </c>
      <c r="I219" t="s">
        <v>28</v>
      </c>
      <c r="J219" t="s">
        <v>29</v>
      </c>
      <c r="K219" s="1">
        <v>43739</v>
      </c>
      <c r="L219">
        <f t="shared" si="17"/>
        <v>54</v>
      </c>
      <c r="M219">
        <f>IF(Table1[[#This Row],[Alive]]="No",Table1[[#This Row],[daysDeath]],Table1[[#This Row],[daysSince]])</f>
        <v>54</v>
      </c>
      <c r="N219">
        <v>116</v>
      </c>
      <c r="O219">
        <v>14.3</v>
      </c>
      <c r="P219">
        <v>818</v>
      </c>
      <c r="Q219">
        <v>13</v>
      </c>
      <c r="R219">
        <v>1.9</v>
      </c>
      <c r="S219">
        <v>59</v>
      </c>
      <c r="T219">
        <v>136</v>
      </c>
      <c r="U219">
        <v>21</v>
      </c>
      <c r="V219">
        <v>131</v>
      </c>
      <c r="W219">
        <v>74</v>
      </c>
      <c r="X219" t="s">
        <v>30</v>
      </c>
      <c r="Y219" t="s">
        <v>29</v>
      </c>
      <c r="Z219" t="s">
        <v>31</v>
      </c>
    </row>
    <row r="220" spans="1:27" ht="30" customHeight="1">
      <c r="A220">
        <v>1411633563</v>
      </c>
      <c r="B220">
        <f>COUNTIF(A:A,A220)</f>
        <v>1</v>
      </c>
      <c r="C220" s="1">
        <f t="shared" ca="1" si="15"/>
        <v>23329</v>
      </c>
      <c r="D220" s="1">
        <v>43690</v>
      </c>
      <c r="E220" s="4">
        <f ca="1">DATEDIF(Table1[[#This Row],[DOB]],Table1[[#This Row],[eventDate]],"Y")</f>
        <v>55</v>
      </c>
      <c r="F220" s="4" t="str">
        <f t="shared" si="16"/>
        <v>Woman</v>
      </c>
      <c r="G220" s="4">
        <f ca="1">_xlfn.DAYS(TODAY(),Table1[[#This Row],[eventDate]])</f>
        <v>2423</v>
      </c>
      <c r="H220" t="s">
        <v>32</v>
      </c>
      <c r="I220" t="s">
        <v>28</v>
      </c>
      <c r="J220" t="s">
        <v>29</v>
      </c>
      <c r="K220" s="1">
        <v>43737</v>
      </c>
      <c r="L220">
        <f t="shared" si="17"/>
        <v>47</v>
      </c>
      <c r="M220">
        <f>IF(Table1[[#This Row],[Alive]]="No",Table1[[#This Row],[daysDeath]],Table1[[#This Row],[daysSince]])</f>
        <v>47</v>
      </c>
      <c r="N220">
        <v>98</v>
      </c>
      <c r="O220">
        <v>10.199999999999999</v>
      </c>
      <c r="P220">
        <v>540</v>
      </c>
      <c r="Q220">
        <v>14</v>
      </c>
      <c r="R220">
        <v>2.9</v>
      </c>
      <c r="S220">
        <v>40</v>
      </c>
      <c r="T220">
        <v>175</v>
      </c>
      <c r="U220">
        <v>30</v>
      </c>
      <c r="V220">
        <v>65</v>
      </c>
      <c r="W220">
        <v>45.9</v>
      </c>
      <c r="X220" t="s">
        <v>30</v>
      </c>
      <c r="Y220" t="s">
        <v>31</v>
      </c>
      <c r="Z220" t="s">
        <v>29</v>
      </c>
    </row>
    <row r="221" spans="1:27" ht="30" customHeight="1">
      <c r="A221">
        <v>2801673846</v>
      </c>
      <c r="B221">
        <f>COUNTIF(A:A,A221)</f>
        <v>1</v>
      </c>
      <c r="C221" s="1">
        <f t="shared" ca="1" si="15"/>
        <v>24500</v>
      </c>
      <c r="D221" s="1">
        <v>43692</v>
      </c>
      <c r="E221" s="4">
        <f ca="1">DATEDIF(Table1[[#This Row],[DOB]],Table1[[#This Row],[eventDate]],"Y")</f>
        <v>52</v>
      </c>
      <c r="F221" s="4" t="str">
        <f t="shared" si="16"/>
        <v>Woman</v>
      </c>
      <c r="G221" s="4">
        <f ca="1">_xlfn.DAYS(TODAY(),Table1[[#This Row],[eventDate]])</f>
        <v>2421</v>
      </c>
      <c r="H221" t="s">
        <v>36</v>
      </c>
      <c r="I221" t="s">
        <v>34</v>
      </c>
      <c r="J221" t="s">
        <v>29</v>
      </c>
      <c r="K221" s="1">
        <v>43984</v>
      </c>
      <c r="L221">
        <f t="shared" si="17"/>
        <v>292</v>
      </c>
      <c r="M221">
        <f>IF(Table1[[#This Row],[Alive]]="No",Table1[[#This Row],[daysDeath]],Table1[[#This Row],[daysSince]])</f>
        <v>292</v>
      </c>
      <c r="N221">
        <v>123</v>
      </c>
      <c r="O221">
        <v>7.1</v>
      </c>
      <c r="P221">
        <v>467</v>
      </c>
      <c r="Q221">
        <v>11</v>
      </c>
      <c r="R221">
        <v>2.1</v>
      </c>
      <c r="S221">
        <v>54</v>
      </c>
      <c r="T221">
        <v>257</v>
      </c>
      <c r="U221">
        <v>29</v>
      </c>
      <c r="V221">
        <v>4</v>
      </c>
      <c r="X221" t="s">
        <v>30</v>
      </c>
      <c r="Y221" t="s">
        <v>29</v>
      </c>
      <c r="Z221" t="s">
        <v>29</v>
      </c>
    </row>
    <row r="222" spans="1:27" ht="30" customHeight="1">
      <c r="A222">
        <v>705455335</v>
      </c>
      <c r="B222">
        <f>COUNTIF(A:A,A222)</f>
        <v>1</v>
      </c>
      <c r="C222" s="1">
        <f t="shared" ca="1" si="15"/>
        <v>16564</v>
      </c>
      <c r="D222" s="1">
        <v>43693</v>
      </c>
      <c r="E222" s="4">
        <f ca="1">DATEDIF(Table1[[#This Row],[DOB]],Table1[[#This Row],[eventDate]],"Y")</f>
        <v>74</v>
      </c>
      <c r="F222" s="4" t="str">
        <f t="shared" si="16"/>
        <v>Man</v>
      </c>
      <c r="G222" s="4">
        <f ca="1">_xlfn.DAYS(TODAY(),Table1[[#This Row],[eventDate]])</f>
        <v>2420</v>
      </c>
      <c r="H222" t="s">
        <v>36</v>
      </c>
      <c r="I222" t="s">
        <v>34</v>
      </c>
      <c r="J222" t="s">
        <v>29</v>
      </c>
      <c r="K222" s="1">
        <v>43923</v>
      </c>
      <c r="L222">
        <f t="shared" si="17"/>
        <v>230</v>
      </c>
      <c r="M222">
        <f>IF(Table1[[#This Row],[Alive]]="No",Table1[[#This Row],[daysDeath]],Table1[[#This Row],[daysSince]])</f>
        <v>230</v>
      </c>
      <c r="N222">
        <v>115</v>
      </c>
      <c r="O222">
        <v>6.7</v>
      </c>
      <c r="P222">
        <v>207</v>
      </c>
      <c r="Q222">
        <v>12</v>
      </c>
      <c r="R222">
        <v>8</v>
      </c>
      <c r="S222">
        <v>58</v>
      </c>
      <c r="T222">
        <v>358</v>
      </c>
      <c r="U222">
        <v>21</v>
      </c>
      <c r="V222">
        <v>9</v>
      </c>
      <c r="W222">
        <v>70</v>
      </c>
      <c r="X222" t="s">
        <v>30</v>
      </c>
      <c r="Y222" t="s">
        <v>31</v>
      </c>
      <c r="Z222" t="s">
        <v>29</v>
      </c>
    </row>
    <row r="223" spans="1:27" ht="30" customHeight="1">
      <c r="A223">
        <v>705656438</v>
      </c>
      <c r="B223">
        <f>COUNTIF(A:A,A223)</f>
        <v>1</v>
      </c>
      <c r="C223" s="1">
        <f t="shared" ca="1" si="15"/>
        <v>23869</v>
      </c>
      <c r="D223" s="1">
        <v>43693</v>
      </c>
      <c r="E223" s="4">
        <f ca="1">DATEDIF(Table1[[#This Row],[DOB]],Table1[[#This Row],[eventDate]],"Y")</f>
        <v>54</v>
      </c>
      <c r="F223" s="4" t="str">
        <f t="shared" si="16"/>
        <v>Man</v>
      </c>
      <c r="G223" s="4">
        <f ca="1">_xlfn.DAYS(TODAY(),Table1[[#This Row],[eventDate]])</f>
        <v>2420</v>
      </c>
      <c r="H223" t="s">
        <v>36</v>
      </c>
      <c r="I223" t="s">
        <v>34</v>
      </c>
      <c r="J223" t="s">
        <v>29</v>
      </c>
      <c r="K223" s="1">
        <v>43884</v>
      </c>
      <c r="L223">
        <f t="shared" si="17"/>
        <v>191</v>
      </c>
      <c r="M223">
        <f>IF(Table1[[#This Row],[Alive]]="No",Table1[[#This Row],[daysDeath]],Table1[[#This Row],[daysSince]])</f>
        <v>191</v>
      </c>
      <c r="N223">
        <v>102</v>
      </c>
      <c r="O223">
        <v>6.4</v>
      </c>
      <c r="P223">
        <v>309</v>
      </c>
      <c r="Q223">
        <v>13</v>
      </c>
      <c r="R223">
        <v>2.8</v>
      </c>
      <c r="S223">
        <v>60</v>
      </c>
      <c r="T223">
        <v>94</v>
      </c>
      <c r="U223">
        <v>24</v>
      </c>
      <c r="V223">
        <v>69</v>
      </c>
      <c r="W223">
        <v>70</v>
      </c>
      <c r="X223" t="s">
        <v>30</v>
      </c>
      <c r="Y223" t="s">
        <v>29</v>
      </c>
      <c r="Z223" t="s">
        <v>29</v>
      </c>
    </row>
    <row r="224" spans="1:27" ht="30" customHeight="1">
      <c r="A224">
        <v>905536312</v>
      </c>
      <c r="B224">
        <f>COUNTIF(A:A,A224)</f>
        <v>1</v>
      </c>
      <c r="C224" s="1">
        <f t="shared" ca="1" si="15"/>
        <v>19488</v>
      </c>
      <c r="D224" s="1">
        <v>43706</v>
      </c>
      <c r="E224" s="4">
        <f ca="1">DATEDIF(Table1[[#This Row],[DOB]],Table1[[#This Row],[eventDate]],"Y")</f>
        <v>66</v>
      </c>
      <c r="F224" s="4" t="str">
        <f t="shared" si="16"/>
        <v>Man</v>
      </c>
      <c r="G224" s="4">
        <f ca="1">_xlfn.DAYS(TODAY(),Table1[[#This Row],[eventDate]])</f>
        <v>2407</v>
      </c>
      <c r="H224" t="s">
        <v>27</v>
      </c>
      <c r="I224" t="s">
        <v>34</v>
      </c>
      <c r="J224" t="s">
        <v>29</v>
      </c>
      <c r="K224" s="1">
        <v>43870</v>
      </c>
      <c r="L224">
        <f t="shared" si="17"/>
        <v>164</v>
      </c>
      <c r="M224">
        <f>IF(Table1[[#This Row],[Alive]]="No",Table1[[#This Row],[daysDeath]],Table1[[#This Row],[daysSince]])</f>
        <v>164</v>
      </c>
      <c r="N224">
        <v>112</v>
      </c>
      <c r="O224">
        <v>4.9000000000000004</v>
      </c>
      <c r="P224">
        <v>248</v>
      </c>
      <c r="Q224">
        <v>14</v>
      </c>
      <c r="R224">
        <v>2.6</v>
      </c>
      <c r="S224">
        <v>63</v>
      </c>
      <c r="T224">
        <v>228</v>
      </c>
      <c r="U224">
        <v>29</v>
      </c>
      <c r="V224">
        <v>6</v>
      </c>
      <c r="W224">
        <v>56</v>
      </c>
      <c r="X224" t="s">
        <v>30</v>
      </c>
      <c r="Y224" t="s">
        <v>31</v>
      </c>
      <c r="Z224" t="s">
        <v>29</v>
      </c>
    </row>
    <row r="225" spans="1:27" ht="30" customHeight="1">
      <c r="A225">
        <v>2603612204</v>
      </c>
      <c r="B225">
        <f>COUNTIF(A:A,A225)</f>
        <v>1</v>
      </c>
      <c r="C225" s="1">
        <f t="shared" ca="1" si="15"/>
        <v>22366</v>
      </c>
      <c r="D225" s="1">
        <v>43714</v>
      </c>
      <c r="E225" s="4">
        <f ca="1">DATEDIF(Table1[[#This Row],[DOB]],Table1[[#This Row],[eventDate]],"Y")</f>
        <v>58</v>
      </c>
      <c r="F225" s="4" t="str">
        <f t="shared" si="16"/>
        <v>Woman</v>
      </c>
      <c r="G225" s="4">
        <f ca="1">_xlfn.DAYS(TODAY(),Table1[[#This Row],[eventDate]])</f>
        <v>2399</v>
      </c>
      <c r="H225" t="s">
        <v>32</v>
      </c>
      <c r="I225" t="s">
        <v>34</v>
      </c>
      <c r="J225" t="s">
        <v>29</v>
      </c>
      <c r="K225" s="1">
        <v>45421</v>
      </c>
      <c r="L225">
        <f t="shared" si="17"/>
        <v>1707</v>
      </c>
      <c r="M225">
        <f>IF(Table1[[#This Row],[Alive]]="No",Table1[[#This Row],[daysDeath]],Table1[[#This Row],[daysSince]])</f>
        <v>1707</v>
      </c>
      <c r="N225">
        <v>133</v>
      </c>
      <c r="O225">
        <v>4.9000000000000004</v>
      </c>
      <c r="P225">
        <v>211</v>
      </c>
      <c r="Q225">
        <v>12</v>
      </c>
      <c r="R225">
        <v>3.8</v>
      </c>
      <c r="S225">
        <v>51</v>
      </c>
      <c r="T225">
        <v>35</v>
      </c>
      <c r="U225">
        <v>34</v>
      </c>
      <c r="V225">
        <v>1</v>
      </c>
      <c r="W225">
        <v>48.8</v>
      </c>
      <c r="X225" t="s">
        <v>30</v>
      </c>
      <c r="Y225" t="s">
        <v>29</v>
      </c>
      <c r="Z225" t="s">
        <v>29</v>
      </c>
    </row>
    <row r="226" spans="1:27" ht="30" customHeight="1">
      <c r="A226">
        <v>3007485061</v>
      </c>
      <c r="B226">
        <f>COUNTIF(A:A,A226)</f>
        <v>1</v>
      </c>
      <c r="C226" s="1">
        <f t="shared" ca="1" si="15"/>
        <v>17744</v>
      </c>
      <c r="D226" s="1">
        <v>43720</v>
      </c>
      <c r="E226" s="4">
        <f ca="1">DATEDIF(Table1[[#This Row],[DOB]],Table1[[#This Row],[eventDate]],"Y")</f>
        <v>71</v>
      </c>
      <c r="F226" s="4" t="str">
        <f t="shared" si="16"/>
        <v>Woman</v>
      </c>
      <c r="G226" s="4">
        <f ca="1">_xlfn.DAYS(TODAY(),Table1[[#This Row],[eventDate]])</f>
        <v>2393</v>
      </c>
      <c r="H226" t="s">
        <v>32</v>
      </c>
      <c r="I226" t="s">
        <v>28</v>
      </c>
      <c r="J226" t="s">
        <v>29</v>
      </c>
      <c r="K226" s="1">
        <v>43761</v>
      </c>
      <c r="L226">
        <f t="shared" si="17"/>
        <v>41</v>
      </c>
      <c r="M226">
        <f>IF(Table1[[#This Row],[Alive]]="No",Table1[[#This Row],[daysDeath]],Table1[[#This Row],[daysSince]])</f>
        <v>41</v>
      </c>
      <c r="N226">
        <v>104</v>
      </c>
      <c r="O226">
        <v>9.8000000000000007</v>
      </c>
      <c r="P226">
        <v>284</v>
      </c>
      <c r="Q226">
        <v>11</v>
      </c>
      <c r="R226">
        <v>2.4</v>
      </c>
      <c r="S226">
        <v>42</v>
      </c>
      <c r="T226">
        <v>300</v>
      </c>
      <c r="U226">
        <v>25</v>
      </c>
      <c r="V226">
        <v>25</v>
      </c>
      <c r="W226">
        <v>55</v>
      </c>
      <c r="X226" t="s">
        <v>30</v>
      </c>
      <c r="Y226" t="s">
        <v>31</v>
      </c>
      <c r="Z226" t="s">
        <v>29</v>
      </c>
    </row>
    <row r="227" spans="1:27" ht="30" customHeight="1">
      <c r="A227">
        <v>2505416060</v>
      </c>
      <c r="B227">
        <f>COUNTIF(A:A,A227)</f>
        <v>1</v>
      </c>
      <c r="C227" s="1">
        <f t="shared" ca="1" si="15"/>
        <v>15121</v>
      </c>
      <c r="D227" s="1">
        <v>43723</v>
      </c>
      <c r="E227" s="4">
        <f ca="1">DATEDIF(Table1[[#This Row],[DOB]],Table1[[#This Row],[eventDate]],"Y")</f>
        <v>78</v>
      </c>
      <c r="F227" s="4" t="str">
        <f t="shared" si="16"/>
        <v>Woman</v>
      </c>
      <c r="G227" s="4">
        <f ca="1">_xlfn.DAYS(TODAY(),Table1[[#This Row],[eventDate]])</f>
        <v>2390</v>
      </c>
      <c r="H227" t="s">
        <v>27</v>
      </c>
      <c r="I227" t="s">
        <v>28</v>
      </c>
      <c r="J227" t="s">
        <v>29</v>
      </c>
      <c r="K227" s="1">
        <v>43730</v>
      </c>
      <c r="L227">
        <f t="shared" si="17"/>
        <v>7</v>
      </c>
      <c r="M227">
        <f>IF(Table1[[#This Row],[Alive]]="No",Table1[[#This Row],[daysDeath]],Table1[[#This Row],[daysSince]])</f>
        <v>7</v>
      </c>
      <c r="N227">
        <v>102</v>
      </c>
      <c r="O227">
        <v>17.600000000000001</v>
      </c>
      <c r="P227">
        <v>358</v>
      </c>
      <c r="Q227">
        <v>14</v>
      </c>
      <c r="R227">
        <v>4</v>
      </c>
      <c r="S227">
        <v>93</v>
      </c>
      <c r="T227">
        <v>83</v>
      </c>
      <c r="U227">
        <v>15</v>
      </c>
      <c r="V227">
        <v>141</v>
      </c>
      <c r="W227">
        <v>45</v>
      </c>
      <c r="X227" t="s">
        <v>30</v>
      </c>
      <c r="Y227" t="s">
        <v>29</v>
      </c>
      <c r="Z227" t="s">
        <v>31</v>
      </c>
    </row>
    <row r="228" spans="1:27" ht="30" customHeight="1">
      <c r="A228">
        <v>803426372</v>
      </c>
      <c r="B228">
        <f>COUNTIF(A:A,A228)</f>
        <v>1</v>
      </c>
      <c r="C228" s="1">
        <f t="shared" ca="1" si="15"/>
        <v>15408</v>
      </c>
      <c r="D228" s="1">
        <v>43728</v>
      </c>
      <c r="E228" s="4">
        <f ca="1">DATEDIF(Table1[[#This Row],[DOB]],Table1[[#This Row],[eventDate]],"Y")</f>
        <v>77</v>
      </c>
      <c r="F228" s="4" t="str">
        <f t="shared" si="16"/>
        <v>Man</v>
      </c>
      <c r="G228" s="4">
        <f ca="1">_xlfn.DAYS(TODAY(),Table1[[#This Row],[eventDate]])</f>
        <v>2385</v>
      </c>
      <c r="H228" t="s">
        <v>32</v>
      </c>
      <c r="I228" t="s">
        <v>34</v>
      </c>
      <c r="J228" t="s">
        <v>29</v>
      </c>
      <c r="K228" s="1">
        <v>44754</v>
      </c>
      <c r="L228">
        <f t="shared" si="17"/>
        <v>1026</v>
      </c>
      <c r="M228">
        <f>IF(Table1[[#This Row],[Alive]]="No",Table1[[#This Row],[daysDeath]],Table1[[#This Row],[daysSince]])</f>
        <v>1026</v>
      </c>
      <c r="N228">
        <v>92</v>
      </c>
      <c r="O228">
        <v>14.2</v>
      </c>
      <c r="P228">
        <v>315</v>
      </c>
      <c r="Q228">
        <v>13</v>
      </c>
      <c r="R228">
        <v>5</v>
      </c>
      <c r="S228">
        <v>65</v>
      </c>
      <c r="T228">
        <v>412</v>
      </c>
      <c r="U228">
        <v>19</v>
      </c>
      <c r="V228">
        <v>71</v>
      </c>
      <c r="W228">
        <v>60</v>
      </c>
      <c r="X228" t="s">
        <v>30</v>
      </c>
      <c r="Y228" t="s">
        <v>31</v>
      </c>
      <c r="Z228" t="s">
        <v>29</v>
      </c>
    </row>
    <row r="229" spans="1:27" ht="30" customHeight="1">
      <c r="A229">
        <v>1212453573</v>
      </c>
      <c r="B229">
        <f>COUNTIF(A:A,A229)</f>
        <v>1</v>
      </c>
      <c r="C229" s="1">
        <f t="shared" ca="1" si="15"/>
        <v>16783</v>
      </c>
      <c r="D229" s="1">
        <v>43739</v>
      </c>
      <c r="E229" s="4">
        <f ca="1">DATEDIF(Table1[[#This Row],[DOB]],Table1[[#This Row],[eventDate]],"Y")</f>
        <v>73</v>
      </c>
      <c r="F229" s="4" t="str">
        <f t="shared" si="16"/>
        <v>Man</v>
      </c>
      <c r="G229" s="4">
        <f ca="1">_xlfn.DAYS(TODAY(),Table1[[#This Row],[eventDate]])</f>
        <v>2374</v>
      </c>
      <c r="H229" t="s">
        <v>32</v>
      </c>
      <c r="I229" t="s">
        <v>28</v>
      </c>
      <c r="J229" t="s">
        <v>29</v>
      </c>
      <c r="K229" s="1">
        <v>43831</v>
      </c>
      <c r="L229">
        <f t="shared" si="17"/>
        <v>92</v>
      </c>
      <c r="M229">
        <f>IF(Table1[[#This Row],[Alive]]="No",Table1[[#This Row],[daysDeath]],Table1[[#This Row],[daysSince]])</f>
        <v>92</v>
      </c>
      <c r="N229">
        <v>115</v>
      </c>
      <c r="O229">
        <v>6.1</v>
      </c>
      <c r="P229">
        <v>274</v>
      </c>
      <c r="Q229">
        <v>10</v>
      </c>
      <c r="R229">
        <v>6.9</v>
      </c>
      <c r="S229">
        <v>67</v>
      </c>
      <c r="T229">
        <v>342</v>
      </c>
      <c r="U229">
        <v>26</v>
      </c>
      <c r="V229">
        <v>4</v>
      </c>
      <c r="W229">
        <v>53</v>
      </c>
      <c r="X229" t="s">
        <v>30</v>
      </c>
      <c r="Y229" t="s">
        <v>31</v>
      </c>
      <c r="Z229" t="s">
        <v>29</v>
      </c>
    </row>
    <row r="230" spans="1:27" ht="30" customHeight="1">
      <c r="A230">
        <v>1807563383</v>
      </c>
      <c r="B230">
        <f>COUNTIF(A:A,A230)</f>
        <v>1</v>
      </c>
      <c r="C230" s="1">
        <f t="shared" ca="1" si="15"/>
        <v>20654</v>
      </c>
      <c r="D230" s="1">
        <v>43746</v>
      </c>
      <c r="E230" s="4">
        <f ca="1">DATEDIF(Table1[[#This Row],[DOB]],Table1[[#This Row],[eventDate]],"Y")</f>
        <v>63</v>
      </c>
      <c r="F230" s="4" t="str">
        <f t="shared" si="16"/>
        <v>Woman</v>
      </c>
      <c r="G230" s="4">
        <f ca="1">_xlfn.DAYS(TODAY(),Table1[[#This Row],[eventDate]])</f>
        <v>2367</v>
      </c>
      <c r="H230" t="s">
        <v>32</v>
      </c>
      <c r="I230" t="s">
        <v>28</v>
      </c>
      <c r="J230" t="s">
        <v>29</v>
      </c>
      <c r="K230" s="1">
        <v>44122</v>
      </c>
      <c r="L230">
        <f t="shared" si="17"/>
        <v>376</v>
      </c>
      <c r="M230">
        <f>IF(Table1[[#This Row],[Alive]]="No",Table1[[#This Row],[daysDeath]],Table1[[#This Row],[daysSince]])</f>
        <v>376</v>
      </c>
      <c r="N230">
        <v>130</v>
      </c>
      <c r="O230">
        <v>13.3</v>
      </c>
      <c r="P230">
        <v>261</v>
      </c>
      <c r="Q230">
        <v>13</v>
      </c>
      <c r="R230">
        <v>3</v>
      </c>
      <c r="S230">
        <v>62</v>
      </c>
      <c r="T230">
        <v>444</v>
      </c>
      <c r="U230">
        <v>19</v>
      </c>
      <c r="V230">
        <v>38</v>
      </c>
      <c r="W230">
        <v>120</v>
      </c>
      <c r="X230" t="s">
        <v>30</v>
      </c>
      <c r="Y230" t="s">
        <v>31</v>
      </c>
      <c r="Z230" t="s">
        <v>29</v>
      </c>
    </row>
    <row r="231" spans="1:27" ht="30" customHeight="1">
      <c r="A231">
        <v>1410426254</v>
      </c>
      <c r="B231">
        <f>COUNTIF(A:A,A231)</f>
        <v>1</v>
      </c>
      <c r="C231" s="1">
        <f t="shared" ca="1" si="15"/>
        <v>15628</v>
      </c>
      <c r="D231" s="1">
        <v>43752</v>
      </c>
      <c r="E231" s="4">
        <f ca="1">DATEDIF(Table1[[#This Row],[DOB]],Table1[[#This Row],[eventDate]],"Y")</f>
        <v>77</v>
      </c>
      <c r="F231" s="4" t="str">
        <f t="shared" si="16"/>
        <v>Man</v>
      </c>
      <c r="G231" s="4">
        <f ca="1">_xlfn.DAYS(TODAY(),Table1[[#This Row],[eventDate]])</f>
        <v>2361</v>
      </c>
      <c r="H231" t="s">
        <v>27</v>
      </c>
      <c r="I231" t="s">
        <v>34</v>
      </c>
      <c r="J231" t="s">
        <v>29</v>
      </c>
      <c r="K231" s="1">
        <v>43762</v>
      </c>
      <c r="L231">
        <f t="shared" si="17"/>
        <v>10</v>
      </c>
      <c r="M231">
        <f>IF(Table1[[#This Row],[Alive]]="No",Table1[[#This Row],[daysDeath]],Table1[[#This Row],[daysSince]])</f>
        <v>10</v>
      </c>
      <c r="N231">
        <v>134</v>
      </c>
      <c r="O231">
        <v>5.9</v>
      </c>
      <c r="P231">
        <v>141</v>
      </c>
      <c r="Q231">
        <v>11</v>
      </c>
      <c r="R231">
        <v>6.4</v>
      </c>
      <c r="S231">
        <v>65</v>
      </c>
      <c r="T231">
        <v>560</v>
      </c>
      <c r="U231">
        <v>30</v>
      </c>
      <c r="V231">
        <v>8</v>
      </c>
      <c r="W231">
        <v>80</v>
      </c>
      <c r="X231" t="s">
        <v>30</v>
      </c>
      <c r="Y231" t="s">
        <v>29</v>
      </c>
      <c r="Z231" t="s">
        <v>31</v>
      </c>
    </row>
    <row r="232" spans="1:27" ht="30" customHeight="1">
      <c r="A232">
        <v>802266347</v>
      </c>
      <c r="B232">
        <f>COUNTIF(A:A,A232)</f>
        <v>1</v>
      </c>
      <c r="C232" s="1">
        <v>9711</v>
      </c>
      <c r="D232" s="1">
        <v>43754</v>
      </c>
      <c r="E232" s="4">
        <f>DATEDIF(Table1[[#This Row],[DOB]],Table1[[#This Row],[eventDate]],"Y")</f>
        <v>93</v>
      </c>
      <c r="F232" s="4" t="str">
        <f t="shared" si="16"/>
        <v>Woman</v>
      </c>
      <c r="G232" s="4">
        <f ca="1">_xlfn.DAYS(TODAY(),Table1[[#This Row],[eventDate]])</f>
        <v>2359</v>
      </c>
      <c r="H232" t="s">
        <v>32</v>
      </c>
      <c r="I232" t="s">
        <v>34</v>
      </c>
      <c r="J232" t="s">
        <v>29</v>
      </c>
      <c r="K232" s="1">
        <v>43790</v>
      </c>
      <c r="L232">
        <f t="shared" si="17"/>
        <v>36</v>
      </c>
      <c r="M232">
        <f>IF(Table1[[#This Row],[Alive]]="No",Table1[[#This Row],[daysDeath]],Table1[[#This Row],[daysSince]])</f>
        <v>36</v>
      </c>
      <c r="N232">
        <v>81</v>
      </c>
      <c r="O232">
        <v>4.5</v>
      </c>
      <c r="P232">
        <v>225</v>
      </c>
      <c r="Q232">
        <v>12</v>
      </c>
      <c r="R232">
        <v>11.1</v>
      </c>
      <c r="S232">
        <v>141</v>
      </c>
      <c r="T232">
        <v>15</v>
      </c>
      <c r="U232">
        <v>25</v>
      </c>
      <c r="V232">
        <v>25</v>
      </c>
      <c r="W232">
        <v>42</v>
      </c>
      <c r="X232" t="s">
        <v>33</v>
      </c>
      <c r="Y232" t="s">
        <v>31</v>
      </c>
      <c r="Z232" t="s">
        <v>29</v>
      </c>
    </row>
    <row r="233" spans="1:27" ht="30" customHeight="1">
      <c r="A233">
        <v>403716101</v>
      </c>
      <c r="B233">
        <f>COUNTIF(A:A,A233)</f>
        <v>1</v>
      </c>
      <c r="C233" s="1">
        <f t="shared" ref="C233:C268" ca="1" si="18">DATE(
    IF(VALUE(MID(TEXT(A233,"0000000000"),5,2)) &gt; VALUE(TEXT(TODAY(),"YY")),
       1900 + VALUE(MID(TEXT(A233,"0000000000"),5,2)),
       2000 + VALUE(MID(TEXT(A233,"0000000000"),5,2))
    ),
    VALUE(MID(TEXT(A233,"0000000000"),3,2)),
    VALUE(LEFT(TEXT(A233,"0000000000"),2))
)</f>
        <v>25996</v>
      </c>
      <c r="D233" s="1">
        <v>43754</v>
      </c>
      <c r="E233" s="4">
        <f ca="1">DATEDIF(Table1[[#This Row],[DOB]],Table1[[#This Row],[eventDate]],"Y")</f>
        <v>48</v>
      </c>
      <c r="F233" s="4" t="str">
        <f t="shared" ref="F233:F268" si="19">IF(MOD(VALUE(MID(TEXT(A233,"0000000000"),9,1)),2)=0,"Woman","Man")</f>
        <v>Woman</v>
      </c>
      <c r="G233" s="4">
        <f ca="1">_xlfn.DAYS(TODAY(),Table1[[#This Row],[eventDate]])</f>
        <v>2359</v>
      </c>
      <c r="H233" t="s">
        <v>32</v>
      </c>
      <c r="I233" t="s">
        <v>28</v>
      </c>
      <c r="J233" t="s">
        <v>29</v>
      </c>
      <c r="K233" s="1">
        <v>43798</v>
      </c>
      <c r="L233">
        <f t="shared" ref="L233:L268" si="20">IF(J233="No",_xlfn.DAYS(K233,D233),"")</f>
        <v>44</v>
      </c>
      <c r="M233">
        <f>IF(Table1[[#This Row],[Alive]]="No",Table1[[#This Row],[daysDeath]],Table1[[#This Row],[daysSince]])</f>
        <v>44</v>
      </c>
      <c r="N233">
        <v>111</v>
      </c>
      <c r="O233">
        <v>4.8</v>
      </c>
      <c r="P233">
        <v>343</v>
      </c>
      <c r="Q233">
        <v>11</v>
      </c>
      <c r="R233">
        <v>4.8</v>
      </c>
      <c r="S233">
        <v>57</v>
      </c>
      <c r="T233">
        <v>190</v>
      </c>
      <c r="U233">
        <v>28</v>
      </c>
      <c r="V233">
        <v>41</v>
      </c>
      <c r="W233">
        <v>52</v>
      </c>
      <c r="X233" t="s">
        <v>30</v>
      </c>
      <c r="Y233" t="s">
        <v>29</v>
      </c>
      <c r="Z233" t="s">
        <v>29</v>
      </c>
      <c r="AA233" t="s">
        <v>44</v>
      </c>
    </row>
    <row r="234" spans="1:27" ht="30" customHeight="1">
      <c r="A234">
        <v>2807463150</v>
      </c>
      <c r="B234">
        <f>COUNTIF(A:A,A234)</f>
        <v>1</v>
      </c>
      <c r="C234" s="1">
        <f t="shared" ca="1" si="18"/>
        <v>17011</v>
      </c>
      <c r="D234" s="1">
        <v>43760</v>
      </c>
      <c r="E234" s="4">
        <f ca="1">DATEDIF(Table1[[#This Row],[DOB]],Table1[[#This Row],[eventDate]],"Y")</f>
        <v>73</v>
      </c>
      <c r="F234" s="4" t="str">
        <f t="shared" si="19"/>
        <v>Man</v>
      </c>
      <c r="G234" s="4">
        <f ca="1">_xlfn.DAYS(TODAY(),Table1[[#This Row],[eventDate]])</f>
        <v>2353</v>
      </c>
      <c r="H234" t="s">
        <v>32</v>
      </c>
      <c r="I234" t="s">
        <v>28</v>
      </c>
      <c r="J234" t="s">
        <v>29</v>
      </c>
      <c r="K234" s="1">
        <v>43888</v>
      </c>
      <c r="L234">
        <f t="shared" si="20"/>
        <v>128</v>
      </c>
      <c r="M234">
        <f>IF(Table1[[#This Row],[Alive]]="No",Table1[[#This Row],[daysDeath]],Table1[[#This Row],[daysSince]])</f>
        <v>128</v>
      </c>
      <c r="N234">
        <v>94</v>
      </c>
      <c r="O234">
        <v>14.5</v>
      </c>
      <c r="P234">
        <v>295</v>
      </c>
      <c r="Q234">
        <v>11</v>
      </c>
      <c r="R234">
        <v>2.9</v>
      </c>
      <c r="S234">
        <v>55</v>
      </c>
      <c r="T234">
        <v>459</v>
      </c>
      <c r="U234">
        <v>28</v>
      </c>
      <c r="V234">
        <v>20</v>
      </c>
      <c r="W234">
        <v>57.6</v>
      </c>
      <c r="X234" t="s">
        <v>30</v>
      </c>
      <c r="Y234" t="s">
        <v>31</v>
      </c>
      <c r="Z234" t="s">
        <v>29</v>
      </c>
    </row>
    <row r="235" spans="1:27" ht="30" customHeight="1">
      <c r="A235">
        <v>2001473540</v>
      </c>
      <c r="B235">
        <f>COUNTIF(A:A,A235)</f>
        <v>1</v>
      </c>
      <c r="C235" s="1">
        <f t="shared" ca="1" si="18"/>
        <v>17187</v>
      </c>
      <c r="D235" s="1">
        <v>43767</v>
      </c>
      <c r="E235" s="4">
        <f ca="1">DATEDIF(Table1[[#This Row],[DOB]],Table1[[#This Row],[eventDate]],"Y")</f>
        <v>72</v>
      </c>
      <c r="F235" s="4" t="str">
        <f t="shared" si="19"/>
        <v>Woman</v>
      </c>
      <c r="G235" s="4">
        <f ca="1">_xlfn.DAYS(TODAY(),Table1[[#This Row],[eventDate]])</f>
        <v>2346</v>
      </c>
      <c r="H235" t="s">
        <v>38</v>
      </c>
      <c r="I235" t="s">
        <v>28</v>
      </c>
      <c r="J235" t="s">
        <v>29</v>
      </c>
      <c r="K235" s="1">
        <v>43773</v>
      </c>
      <c r="L235">
        <f t="shared" si="20"/>
        <v>6</v>
      </c>
      <c r="M235">
        <f>IF(Table1[[#This Row],[Alive]]="No",Table1[[#This Row],[daysDeath]],Table1[[#This Row],[daysSince]])</f>
        <v>6</v>
      </c>
      <c r="N235">
        <v>121</v>
      </c>
      <c r="O235">
        <v>11.7</v>
      </c>
      <c r="P235">
        <v>329</v>
      </c>
      <c r="Q235">
        <v>13</v>
      </c>
      <c r="R235">
        <v>5.5</v>
      </c>
      <c r="S235">
        <v>66</v>
      </c>
      <c r="T235">
        <v>30</v>
      </c>
      <c r="U235">
        <v>16</v>
      </c>
      <c r="V235">
        <v>117</v>
      </c>
      <c r="W235">
        <v>59.7</v>
      </c>
      <c r="X235" t="s">
        <v>30</v>
      </c>
      <c r="Y235" t="s">
        <v>29</v>
      </c>
      <c r="Z235" t="s">
        <v>31</v>
      </c>
    </row>
    <row r="236" spans="1:27" ht="30" customHeight="1">
      <c r="A236">
        <v>1704476399</v>
      </c>
      <c r="B236">
        <f>COUNTIF(A:A,A236)</f>
        <v>1</v>
      </c>
      <c r="C236" s="1">
        <f t="shared" ca="1" si="18"/>
        <v>17274</v>
      </c>
      <c r="D236" s="1">
        <v>43776</v>
      </c>
      <c r="E236" s="4">
        <f ca="1">DATEDIF(Table1[[#This Row],[DOB]],Table1[[#This Row],[eventDate]],"Y")</f>
        <v>72</v>
      </c>
      <c r="F236" s="4" t="str">
        <f t="shared" si="19"/>
        <v>Man</v>
      </c>
      <c r="G236" s="4">
        <f ca="1">_xlfn.DAYS(TODAY(),Table1[[#This Row],[eventDate]])</f>
        <v>2337</v>
      </c>
      <c r="H236" t="s">
        <v>32</v>
      </c>
      <c r="I236" t="s">
        <v>28</v>
      </c>
      <c r="J236" t="s">
        <v>29</v>
      </c>
      <c r="K236" s="1">
        <v>44082</v>
      </c>
      <c r="L236">
        <f t="shared" si="20"/>
        <v>306</v>
      </c>
      <c r="M236">
        <f>IF(Table1[[#This Row],[Alive]]="No",Table1[[#This Row],[daysDeath]],Table1[[#This Row],[daysSince]])</f>
        <v>306</v>
      </c>
      <c r="N236">
        <v>124</v>
      </c>
      <c r="O236">
        <v>5.4</v>
      </c>
      <c r="P236">
        <v>179</v>
      </c>
      <c r="Q236">
        <v>13</v>
      </c>
      <c r="R236">
        <v>3.5</v>
      </c>
      <c r="S236">
        <v>75</v>
      </c>
      <c r="T236">
        <v>409</v>
      </c>
      <c r="U236">
        <v>26</v>
      </c>
      <c r="V236">
        <v>7</v>
      </c>
      <c r="W236">
        <v>80</v>
      </c>
      <c r="X236" t="s">
        <v>30</v>
      </c>
      <c r="Y236" t="s">
        <v>31</v>
      </c>
      <c r="Z236" t="s">
        <v>29</v>
      </c>
    </row>
    <row r="237" spans="1:27" ht="30" customHeight="1">
      <c r="A237">
        <v>1702396207</v>
      </c>
      <c r="B237">
        <f>COUNTIF(A:A,A237)</f>
        <v>1</v>
      </c>
      <c r="C237" s="1">
        <f t="shared" ca="1" si="18"/>
        <v>14293</v>
      </c>
      <c r="D237" s="1">
        <v>43781</v>
      </c>
      <c r="E237" s="4">
        <f ca="1">DATEDIF(Table1[[#This Row],[DOB]],Table1[[#This Row],[eventDate]],"Y")</f>
        <v>80</v>
      </c>
      <c r="F237" s="4" t="str">
        <f t="shared" si="19"/>
        <v>Woman</v>
      </c>
      <c r="G237" s="4">
        <f ca="1">_xlfn.DAYS(TODAY(),Table1[[#This Row],[eventDate]])</f>
        <v>2332</v>
      </c>
      <c r="H237" t="s">
        <v>32</v>
      </c>
      <c r="I237" t="s">
        <v>28</v>
      </c>
      <c r="J237" t="s">
        <v>29</v>
      </c>
      <c r="K237" s="1">
        <v>43947</v>
      </c>
      <c r="L237">
        <f t="shared" si="20"/>
        <v>166</v>
      </c>
      <c r="M237">
        <f>IF(Table1[[#This Row],[Alive]]="No",Table1[[#This Row],[daysDeath]],Table1[[#This Row],[daysSince]])</f>
        <v>166</v>
      </c>
      <c r="N237">
        <v>105</v>
      </c>
      <c r="O237">
        <v>7.8</v>
      </c>
      <c r="P237">
        <v>295</v>
      </c>
      <c r="Q237">
        <v>11</v>
      </c>
      <c r="R237">
        <v>5.5</v>
      </c>
      <c r="S237">
        <v>103</v>
      </c>
      <c r="T237">
        <v>293</v>
      </c>
      <c r="U237">
        <v>24</v>
      </c>
      <c r="V237">
        <v>38</v>
      </c>
      <c r="W237">
        <v>60</v>
      </c>
      <c r="X237" t="s">
        <v>30</v>
      </c>
      <c r="Y237" t="s">
        <v>31</v>
      </c>
      <c r="Z237" t="s">
        <v>29</v>
      </c>
    </row>
    <row r="238" spans="1:27" ht="30" customHeight="1">
      <c r="A238">
        <v>2907616269</v>
      </c>
      <c r="B238">
        <f>COUNTIF(A:A,A238)</f>
        <v>1</v>
      </c>
      <c r="C238" s="1">
        <f t="shared" ca="1" si="18"/>
        <v>22491</v>
      </c>
      <c r="D238" s="1">
        <v>43782</v>
      </c>
      <c r="E238" s="4">
        <f ca="1">DATEDIF(Table1[[#This Row],[DOB]],Table1[[#This Row],[eventDate]],"Y")</f>
        <v>58</v>
      </c>
      <c r="F238" s="4" t="str">
        <f t="shared" si="19"/>
        <v>Woman</v>
      </c>
      <c r="G238" s="4">
        <f ca="1">_xlfn.DAYS(TODAY(),Table1[[#This Row],[eventDate]])</f>
        <v>2331</v>
      </c>
      <c r="H238" t="s">
        <v>27</v>
      </c>
      <c r="I238" t="s">
        <v>34</v>
      </c>
      <c r="J238" t="s">
        <v>29</v>
      </c>
      <c r="K238" s="1">
        <v>43795</v>
      </c>
      <c r="L238">
        <f t="shared" si="20"/>
        <v>13</v>
      </c>
      <c r="M238">
        <f>IF(Table1[[#This Row],[Alive]]="No",Table1[[#This Row],[daysDeath]],Table1[[#This Row],[daysSince]])</f>
        <v>13</v>
      </c>
      <c r="N238">
        <v>138</v>
      </c>
      <c r="O238">
        <v>8.3000000000000007</v>
      </c>
      <c r="P238">
        <v>216</v>
      </c>
      <c r="Q238">
        <v>10</v>
      </c>
      <c r="R238">
        <v>5.6</v>
      </c>
      <c r="S238">
        <v>47</v>
      </c>
      <c r="T238">
        <v>75</v>
      </c>
      <c r="U238">
        <v>29</v>
      </c>
      <c r="V238">
        <v>8</v>
      </c>
      <c r="W238">
        <v>85</v>
      </c>
      <c r="X238" t="s">
        <v>30</v>
      </c>
      <c r="Y238" t="s">
        <v>29</v>
      </c>
      <c r="Z238" t="s">
        <v>31</v>
      </c>
      <c r="AA238" t="s">
        <v>45</v>
      </c>
    </row>
    <row r="239" spans="1:27" ht="30" customHeight="1">
      <c r="A239">
        <v>2911380479</v>
      </c>
      <c r="B239">
        <f>COUNTIF(A:A,A239)</f>
        <v>1</v>
      </c>
      <c r="C239" s="1">
        <f t="shared" ca="1" si="18"/>
        <v>14213</v>
      </c>
      <c r="D239" s="1">
        <v>43788</v>
      </c>
      <c r="E239" s="4">
        <f ca="1">DATEDIF(Table1[[#This Row],[DOB]],Table1[[#This Row],[eventDate]],"Y")</f>
        <v>80</v>
      </c>
      <c r="F239" s="4" t="str">
        <f t="shared" si="19"/>
        <v>Man</v>
      </c>
      <c r="G239" s="4">
        <f ca="1">_xlfn.DAYS(TODAY(),Table1[[#This Row],[eventDate]])</f>
        <v>2325</v>
      </c>
      <c r="H239" t="s">
        <v>32</v>
      </c>
      <c r="I239" t="s">
        <v>28</v>
      </c>
      <c r="J239" t="s">
        <v>29</v>
      </c>
      <c r="K239" s="1">
        <v>44614</v>
      </c>
      <c r="L239">
        <f t="shared" si="20"/>
        <v>826</v>
      </c>
      <c r="M239">
        <f>IF(Table1[[#This Row],[Alive]]="No",Table1[[#This Row],[daysDeath]],Table1[[#This Row],[daysSince]])</f>
        <v>826</v>
      </c>
      <c r="N239">
        <v>108</v>
      </c>
      <c r="O239">
        <v>12.3</v>
      </c>
      <c r="P239">
        <v>298</v>
      </c>
      <c r="Q239">
        <v>12</v>
      </c>
      <c r="R239">
        <v>9.9</v>
      </c>
      <c r="S239">
        <v>235</v>
      </c>
      <c r="T239">
        <v>60</v>
      </c>
      <c r="U239">
        <v>23</v>
      </c>
      <c r="V239">
        <v>101</v>
      </c>
      <c r="W239">
        <v>66</v>
      </c>
      <c r="X239" t="s">
        <v>33</v>
      </c>
      <c r="Y239" t="s">
        <v>31</v>
      </c>
      <c r="Z239" t="s">
        <v>29</v>
      </c>
    </row>
    <row r="240" spans="1:27" ht="30" customHeight="1">
      <c r="A240">
        <v>3007776511</v>
      </c>
      <c r="B240">
        <f>COUNTIF(A:A,A240)</f>
        <v>1</v>
      </c>
      <c r="C240" s="1">
        <f t="shared" ca="1" si="18"/>
        <v>28336</v>
      </c>
      <c r="D240" s="1">
        <v>43790</v>
      </c>
      <c r="E240" s="4">
        <f ca="1">DATEDIF(Table1[[#This Row],[DOB]],Table1[[#This Row],[eventDate]],"Y")</f>
        <v>42</v>
      </c>
      <c r="F240" s="4" t="str">
        <f t="shared" si="19"/>
        <v>Man</v>
      </c>
      <c r="G240" s="4">
        <f ca="1">_xlfn.DAYS(TODAY(),Table1[[#This Row],[eventDate]])</f>
        <v>2323</v>
      </c>
      <c r="H240" t="s">
        <v>32</v>
      </c>
      <c r="I240" t="s">
        <v>28</v>
      </c>
      <c r="J240" t="s">
        <v>31</v>
      </c>
      <c r="L240" t="str">
        <f t="shared" si="20"/>
        <v/>
      </c>
      <c r="M240">
        <f ca="1">IF(Table1[[#This Row],[Alive]]="No",Table1[[#This Row],[daysDeath]],Table1[[#This Row],[daysSince]])</f>
        <v>2323</v>
      </c>
      <c r="N240">
        <v>126</v>
      </c>
      <c r="O240">
        <v>6.2</v>
      </c>
      <c r="P240">
        <v>273</v>
      </c>
      <c r="Q240">
        <v>11</v>
      </c>
      <c r="R240">
        <v>4.3</v>
      </c>
      <c r="S240">
        <v>71</v>
      </c>
      <c r="T240">
        <v>38</v>
      </c>
      <c r="U240">
        <v>34</v>
      </c>
      <c r="V240">
        <v>39</v>
      </c>
      <c r="W240">
        <v>75</v>
      </c>
      <c r="X240" t="s">
        <v>33</v>
      </c>
      <c r="Y240" t="s">
        <v>29</v>
      </c>
      <c r="Z240" t="s">
        <v>29</v>
      </c>
    </row>
    <row r="241" spans="1:26" ht="30" customHeight="1">
      <c r="A241">
        <v>1509716645</v>
      </c>
      <c r="B241">
        <f>COUNTIF(A:A,A241)</f>
        <v>1</v>
      </c>
      <c r="C241" s="1">
        <f t="shared" ca="1" si="18"/>
        <v>26191</v>
      </c>
      <c r="D241" s="1">
        <v>43798</v>
      </c>
      <c r="E241" s="4">
        <f ca="1">DATEDIF(Table1[[#This Row],[DOB]],Table1[[#This Row],[eventDate]],"Y")</f>
        <v>48</v>
      </c>
      <c r="F241" s="4" t="str">
        <f t="shared" si="19"/>
        <v>Woman</v>
      </c>
      <c r="G241" s="4">
        <f ca="1">_xlfn.DAYS(TODAY(),Table1[[#This Row],[eventDate]])</f>
        <v>2315</v>
      </c>
      <c r="H241" t="s">
        <v>27</v>
      </c>
      <c r="I241" t="s">
        <v>34</v>
      </c>
      <c r="J241" t="s">
        <v>31</v>
      </c>
      <c r="L241" t="str">
        <f t="shared" si="20"/>
        <v/>
      </c>
      <c r="M241">
        <f ca="1">IF(Table1[[#This Row],[Alive]]="No",Table1[[#This Row],[daysDeath]],Table1[[#This Row],[daysSince]])</f>
        <v>2315</v>
      </c>
      <c r="N241">
        <v>83</v>
      </c>
      <c r="O241">
        <v>8.8000000000000007</v>
      </c>
      <c r="P241">
        <v>563</v>
      </c>
      <c r="Q241">
        <v>14</v>
      </c>
      <c r="R241">
        <v>3.8</v>
      </c>
      <c r="S241">
        <v>50</v>
      </c>
      <c r="T241">
        <v>8</v>
      </c>
      <c r="U241">
        <v>26</v>
      </c>
      <c r="V241">
        <v>48</v>
      </c>
      <c r="W241">
        <v>95</v>
      </c>
      <c r="X241" t="s">
        <v>33</v>
      </c>
      <c r="Y241" t="s">
        <v>31</v>
      </c>
      <c r="Z241" t="s">
        <v>29</v>
      </c>
    </row>
    <row r="242" spans="1:26" ht="30" customHeight="1">
      <c r="A242">
        <v>904393135</v>
      </c>
      <c r="B242">
        <f>COUNTIF(A:A,A242)</f>
        <v>1</v>
      </c>
      <c r="C242" s="1">
        <f t="shared" ca="1" si="18"/>
        <v>14344</v>
      </c>
      <c r="D242" s="1">
        <v>43809</v>
      </c>
      <c r="E242" s="4">
        <f ca="1">DATEDIF(Table1[[#This Row],[DOB]],Table1[[#This Row],[eventDate]],"Y")</f>
        <v>80</v>
      </c>
      <c r="F242" s="4" t="str">
        <f t="shared" si="19"/>
        <v>Man</v>
      </c>
      <c r="G242" s="4">
        <f ca="1">_xlfn.DAYS(TODAY(),Table1[[#This Row],[eventDate]])</f>
        <v>2304</v>
      </c>
      <c r="H242" t="s">
        <v>32</v>
      </c>
      <c r="I242" t="s">
        <v>34</v>
      </c>
      <c r="J242" t="s">
        <v>29</v>
      </c>
      <c r="K242" s="1">
        <v>45781</v>
      </c>
      <c r="L242">
        <f t="shared" si="20"/>
        <v>1972</v>
      </c>
      <c r="M242">
        <f>IF(Table1[[#This Row],[Alive]]="No",Table1[[#This Row],[daysDeath]],Table1[[#This Row],[daysSince]])</f>
        <v>1972</v>
      </c>
      <c r="N242">
        <v>136</v>
      </c>
      <c r="O242">
        <v>8</v>
      </c>
      <c r="P242">
        <v>250</v>
      </c>
      <c r="Q242">
        <v>12</v>
      </c>
      <c r="R242">
        <v>4.0999999999999996</v>
      </c>
      <c r="S242">
        <v>55</v>
      </c>
      <c r="T242">
        <v>158</v>
      </c>
      <c r="U242">
        <v>26</v>
      </c>
      <c r="V242">
        <v>71</v>
      </c>
      <c r="X242" t="s">
        <v>30</v>
      </c>
      <c r="Y242" t="s">
        <v>29</v>
      </c>
      <c r="Z242" t="s">
        <v>29</v>
      </c>
    </row>
    <row r="243" spans="1:26" ht="30" customHeight="1">
      <c r="A243">
        <v>1704483034</v>
      </c>
      <c r="B243">
        <f>COUNTIF(A:A,A243)</f>
        <v>1</v>
      </c>
      <c r="C243" s="1">
        <f t="shared" ca="1" si="18"/>
        <v>17640</v>
      </c>
      <c r="D243" s="1">
        <v>43809</v>
      </c>
      <c r="E243" s="4">
        <f ca="1">DATEDIF(Table1[[#This Row],[DOB]],Table1[[#This Row],[eventDate]],"Y")</f>
        <v>71</v>
      </c>
      <c r="F243" s="4" t="str">
        <f t="shared" si="19"/>
        <v>Man</v>
      </c>
      <c r="G243" s="4">
        <f ca="1">_xlfn.DAYS(TODAY(),Table1[[#This Row],[eventDate]])</f>
        <v>2304</v>
      </c>
      <c r="H243" t="s">
        <v>27</v>
      </c>
      <c r="I243" t="s">
        <v>28</v>
      </c>
      <c r="J243" t="s">
        <v>29</v>
      </c>
      <c r="K243" s="1">
        <v>44249</v>
      </c>
      <c r="L243">
        <f t="shared" si="20"/>
        <v>440</v>
      </c>
      <c r="M243">
        <f>IF(Table1[[#This Row],[Alive]]="No",Table1[[#This Row],[daysDeath]],Table1[[#This Row],[daysSince]])</f>
        <v>440</v>
      </c>
      <c r="N243">
        <v>107</v>
      </c>
      <c r="O243">
        <v>7</v>
      </c>
      <c r="P243">
        <v>375</v>
      </c>
      <c r="Q243">
        <v>11</v>
      </c>
      <c r="R243">
        <v>3.2</v>
      </c>
      <c r="S243">
        <v>48</v>
      </c>
      <c r="T243">
        <v>243</v>
      </c>
      <c r="U243">
        <v>26</v>
      </c>
      <c r="V243">
        <v>10</v>
      </c>
      <c r="W243">
        <v>81.099999999999994</v>
      </c>
      <c r="X243" t="s">
        <v>30</v>
      </c>
      <c r="Y243" t="s">
        <v>31</v>
      </c>
      <c r="Z243" t="s">
        <v>29</v>
      </c>
    </row>
    <row r="244" spans="1:26" ht="30" customHeight="1">
      <c r="A244">
        <v>2905326425</v>
      </c>
      <c r="B244">
        <f>COUNTIF(A:A,A244)</f>
        <v>1</v>
      </c>
      <c r="C244" s="1">
        <f t="shared" ca="1" si="18"/>
        <v>11838</v>
      </c>
      <c r="D244" s="1">
        <v>43823</v>
      </c>
      <c r="E244" s="4">
        <f ca="1">DATEDIF(Table1[[#This Row],[DOB]],Table1[[#This Row],[eventDate]],"Y")</f>
        <v>87</v>
      </c>
      <c r="F244" s="4" t="str">
        <f t="shared" si="19"/>
        <v>Woman</v>
      </c>
      <c r="G244" s="4">
        <f ca="1">_xlfn.DAYS(TODAY(),Table1[[#This Row],[eventDate]])</f>
        <v>2290</v>
      </c>
      <c r="H244" t="s">
        <v>32</v>
      </c>
      <c r="I244" t="s">
        <v>28</v>
      </c>
      <c r="J244" t="s">
        <v>29</v>
      </c>
      <c r="K244" s="1">
        <v>43835</v>
      </c>
      <c r="L244">
        <f t="shared" si="20"/>
        <v>12</v>
      </c>
      <c r="M244">
        <f>IF(Table1[[#This Row],[Alive]]="No",Table1[[#This Row],[daysDeath]],Table1[[#This Row],[daysSince]])</f>
        <v>12</v>
      </c>
      <c r="N244">
        <v>128</v>
      </c>
      <c r="O244">
        <v>7.6</v>
      </c>
      <c r="P244">
        <v>239</v>
      </c>
      <c r="Q244">
        <v>13</v>
      </c>
      <c r="R244">
        <v>3.6</v>
      </c>
      <c r="S244">
        <v>35</v>
      </c>
      <c r="T244">
        <v>120</v>
      </c>
      <c r="U244">
        <v>17</v>
      </c>
      <c r="V244">
        <v>27</v>
      </c>
      <c r="W244">
        <v>39</v>
      </c>
      <c r="X244" t="s">
        <v>33</v>
      </c>
      <c r="Y244" t="s">
        <v>31</v>
      </c>
      <c r="Z244" t="s">
        <v>31</v>
      </c>
    </row>
    <row r="245" spans="1:26" ht="30" customHeight="1">
      <c r="A245">
        <v>1209446243</v>
      </c>
      <c r="B245">
        <f>COUNTIF(A:A,A245)</f>
        <v>1</v>
      </c>
      <c r="C245" s="1">
        <f t="shared" ca="1" si="18"/>
        <v>16327</v>
      </c>
      <c r="D245" s="1">
        <v>43826</v>
      </c>
      <c r="E245" s="4">
        <f ca="1">DATEDIF(Table1[[#This Row],[DOB]],Table1[[#This Row],[eventDate]],"Y")</f>
        <v>75</v>
      </c>
      <c r="F245" s="4" t="str">
        <f t="shared" si="19"/>
        <v>Woman</v>
      </c>
      <c r="G245" s="4">
        <f ca="1">_xlfn.DAYS(TODAY(),Table1[[#This Row],[eventDate]])</f>
        <v>2287</v>
      </c>
      <c r="H245" t="s">
        <v>32</v>
      </c>
      <c r="I245" t="s">
        <v>34</v>
      </c>
      <c r="J245" t="s">
        <v>29</v>
      </c>
      <c r="K245" s="1">
        <v>43887</v>
      </c>
      <c r="L245">
        <f t="shared" si="20"/>
        <v>61</v>
      </c>
      <c r="M245">
        <f>IF(Table1[[#This Row],[Alive]]="No",Table1[[#This Row],[daysDeath]],Table1[[#This Row],[daysSince]])</f>
        <v>61</v>
      </c>
      <c r="N245">
        <v>126</v>
      </c>
      <c r="O245">
        <v>10.4</v>
      </c>
      <c r="P245">
        <v>417</v>
      </c>
      <c r="Q245">
        <v>13</v>
      </c>
      <c r="R245">
        <v>6.9</v>
      </c>
      <c r="S245">
        <v>94</v>
      </c>
      <c r="T245">
        <v>224</v>
      </c>
      <c r="U245">
        <v>23</v>
      </c>
      <c r="V245">
        <v>43</v>
      </c>
      <c r="W245">
        <v>58</v>
      </c>
      <c r="X245" t="s">
        <v>30</v>
      </c>
      <c r="Y245" t="s">
        <v>31</v>
      </c>
      <c r="Z245" t="s">
        <v>31</v>
      </c>
    </row>
    <row r="246" spans="1:26" ht="30" customHeight="1">
      <c r="A246">
        <v>308696018</v>
      </c>
      <c r="B246">
        <f>COUNTIF(A:A,A246)</f>
        <v>1</v>
      </c>
      <c r="C246" s="1">
        <f t="shared" ca="1" si="18"/>
        <v>25418</v>
      </c>
      <c r="D246" s="1">
        <v>43837</v>
      </c>
      <c r="E246" s="4">
        <f ca="1">DATEDIF(Table1[[#This Row],[DOB]],Table1[[#This Row],[eventDate]],"Y")</f>
        <v>50</v>
      </c>
      <c r="F246" s="4" t="str">
        <f t="shared" si="19"/>
        <v>Man</v>
      </c>
      <c r="G246" s="4">
        <f ca="1">_xlfn.DAYS(TODAY(),Table1[[#This Row],[eventDate]])</f>
        <v>2276</v>
      </c>
      <c r="H246" t="s">
        <v>27</v>
      </c>
      <c r="I246" t="s">
        <v>28</v>
      </c>
      <c r="J246" t="s">
        <v>31</v>
      </c>
      <c r="L246" t="str">
        <f t="shared" si="20"/>
        <v/>
      </c>
      <c r="M246">
        <f ca="1">IF(Table1[[#This Row],[Alive]]="No",Table1[[#This Row],[daysDeath]],Table1[[#This Row],[daysSince]])</f>
        <v>2276</v>
      </c>
      <c r="N246">
        <v>143</v>
      </c>
      <c r="O246">
        <v>5.9</v>
      </c>
      <c r="P246">
        <v>232</v>
      </c>
      <c r="Q246">
        <v>11</v>
      </c>
      <c r="R246">
        <v>8.3000000000000007</v>
      </c>
      <c r="S246">
        <v>78</v>
      </c>
      <c r="T246">
        <v>11</v>
      </c>
      <c r="U246">
        <v>36</v>
      </c>
      <c r="V246">
        <v>10</v>
      </c>
      <c r="W246">
        <v>89</v>
      </c>
      <c r="X246" t="s">
        <v>33</v>
      </c>
      <c r="Y246" t="s">
        <v>31</v>
      </c>
      <c r="Z246" t="s">
        <v>29</v>
      </c>
    </row>
    <row r="247" spans="1:26" ht="30" customHeight="1">
      <c r="A247">
        <v>1306456169</v>
      </c>
      <c r="B247">
        <f>COUNTIF(A:A,A247)</f>
        <v>1</v>
      </c>
      <c r="C247" s="1">
        <f t="shared" ca="1" si="18"/>
        <v>16601</v>
      </c>
      <c r="D247" s="1">
        <v>43840</v>
      </c>
      <c r="E247" s="4">
        <f ca="1">DATEDIF(Table1[[#This Row],[DOB]],Table1[[#This Row],[eventDate]],"Y")</f>
        <v>74</v>
      </c>
      <c r="F247" s="4" t="str">
        <f t="shared" si="19"/>
        <v>Woman</v>
      </c>
      <c r="G247" s="4">
        <f ca="1">_xlfn.DAYS(TODAY(),Table1[[#This Row],[eventDate]])</f>
        <v>2273</v>
      </c>
      <c r="H247" t="s">
        <v>32</v>
      </c>
      <c r="I247" t="s">
        <v>28</v>
      </c>
      <c r="J247" t="s">
        <v>29</v>
      </c>
      <c r="K247" s="1">
        <v>43852</v>
      </c>
      <c r="L247">
        <f t="shared" si="20"/>
        <v>12</v>
      </c>
      <c r="M247">
        <f>IF(Table1[[#This Row],[Alive]]="No",Table1[[#This Row],[daysDeath]],Table1[[#This Row],[daysSince]])</f>
        <v>12</v>
      </c>
      <c r="N247">
        <v>111</v>
      </c>
      <c r="O247">
        <v>7.4</v>
      </c>
      <c r="P247">
        <v>239</v>
      </c>
      <c r="Q247">
        <v>11</v>
      </c>
      <c r="R247">
        <v>3.2</v>
      </c>
      <c r="S247">
        <v>93</v>
      </c>
      <c r="T247">
        <v>392</v>
      </c>
      <c r="U247">
        <v>15</v>
      </c>
      <c r="V247">
        <v>12</v>
      </c>
      <c r="W247">
        <v>75.400000000000006</v>
      </c>
      <c r="X247" t="s">
        <v>30</v>
      </c>
      <c r="Y247" t="s">
        <v>29</v>
      </c>
      <c r="Z247" t="s">
        <v>31</v>
      </c>
    </row>
    <row r="248" spans="1:26" ht="30" customHeight="1">
      <c r="A248">
        <v>209473509</v>
      </c>
      <c r="B248">
        <f>COUNTIF(A:A,A248)</f>
        <v>1</v>
      </c>
      <c r="C248" s="1">
        <f t="shared" ca="1" si="18"/>
        <v>17412</v>
      </c>
      <c r="D248" s="1">
        <v>43843</v>
      </c>
      <c r="E248" s="4">
        <f ca="1">DATEDIF(Table1[[#This Row],[DOB]],Table1[[#This Row],[eventDate]],"Y")</f>
        <v>72</v>
      </c>
      <c r="F248" s="4" t="str">
        <f t="shared" si="19"/>
        <v>Woman</v>
      </c>
      <c r="G248" s="4">
        <f ca="1">_xlfn.DAYS(TODAY(),Table1[[#This Row],[eventDate]])</f>
        <v>2270</v>
      </c>
      <c r="H248" t="s">
        <v>32</v>
      </c>
      <c r="I248" t="s">
        <v>34</v>
      </c>
      <c r="J248" t="s">
        <v>29</v>
      </c>
      <c r="K248" s="1">
        <v>43884</v>
      </c>
      <c r="L248">
        <f t="shared" si="20"/>
        <v>41</v>
      </c>
      <c r="M248">
        <f>IF(Table1[[#This Row],[Alive]]="No",Table1[[#This Row],[daysDeath]],Table1[[#This Row],[daysSince]])</f>
        <v>41</v>
      </c>
      <c r="N248">
        <v>124</v>
      </c>
      <c r="O248">
        <v>14</v>
      </c>
      <c r="P248">
        <v>287</v>
      </c>
      <c r="Q248">
        <v>14</v>
      </c>
      <c r="R248">
        <v>5.8</v>
      </c>
      <c r="S248">
        <v>61</v>
      </c>
      <c r="T248">
        <v>282</v>
      </c>
      <c r="U248">
        <v>22</v>
      </c>
      <c r="V248">
        <v>39</v>
      </c>
      <c r="W248">
        <v>101</v>
      </c>
      <c r="X248" t="s">
        <v>30</v>
      </c>
      <c r="Y248" t="s">
        <v>29</v>
      </c>
      <c r="Z248" t="s">
        <v>29</v>
      </c>
    </row>
    <row r="249" spans="1:26" ht="30" customHeight="1">
      <c r="A249">
        <v>106576550</v>
      </c>
      <c r="B249">
        <f>COUNTIF(A:A,A249)</f>
        <v>1</v>
      </c>
      <c r="C249" s="1">
        <f t="shared" ca="1" si="18"/>
        <v>20972</v>
      </c>
      <c r="D249" s="1">
        <v>43846</v>
      </c>
      <c r="E249" s="4">
        <f ca="1">DATEDIF(Table1[[#This Row],[DOB]],Table1[[#This Row],[eventDate]],"Y")</f>
        <v>62</v>
      </c>
      <c r="F249" s="4" t="str">
        <f t="shared" si="19"/>
        <v>Man</v>
      </c>
      <c r="G249" s="4">
        <f ca="1">_xlfn.DAYS(TODAY(),Table1[[#This Row],[eventDate]])</f>
        <v>2267</v>
      </c>
      <c r="H249" t="s">
        <v>35</v>
      </c>
      <c r="I249" t="s">
        <v>34</v>
      </c>
      <c r="J249" t="s">
        <v>29</v>
      </c>
      <c r="K249" s="1">
        <v>44190</v>
      </c>
      <c r="L249">
        <f t="shared" si="20"/>
        <v>344</v>
      </c>
      <c r="M249">
        <f>IF(Table1[[#This Row],[Alive]]="No",Table1[[#This Row],[daysDeath]],Table1[[#This Row],[daysSince]])</f>
        <v>344</v>
      </c>
      <c r="N249">
        <v>104</v>
      </c>
      <c r="O249">
        <v>9</v>
      </c>
      <c r="P249">
        <v>303</v>
      </c>
      <c r="Q249">
        <v>11</v>
      </c>
      <c r="R249">
        <v>5.7</v>
      </c>
      <c r="S249">
        <v>87</v>
      </c>
      <c r="T249">
        <v>261</v>
      </c>
      <c r="U249">
        <v>20</v>
      </c>
      <c r="V249">
        <v>32</v>
      </c>
      <c r="W249">
        <v>54.2</v>
      </c>
      <c r="X249" t="s">
        <v>30</v>
      </c>
      <c r="Y249" t="s">
        <v>29</v>
      </c>
      <c r="Z249" t="s">
        <v>29</v>
      </c>
    </row>
    <row r="250" spans="1:26" ht="30" customHeight="1">
      <c r="A250">
        <v>2311426389</v>
      </c>
      <c r="B250">
        <f>COUNTIF(A:A,A250)</f>
        <v>1</v>
      </c>
      <c r="C250" s="1">
        <f t="shared" ca="1" si="18"/>
        <v>15668</v>
      </c>
      <c r="D250" s="1">
        <v>43847</v>
      </c>
      <c r="E250" s="4">
        <f ca="1">DATEDIF(Table1[[#This Row],[DOB]],Table1[[#This Row],[eventDate]],"Y")</f>
        <v>77</v>
      </c>
      <c r="F250" s="4" t="str">
        <f t="shared" si="19"/>
        <v>Woman</v>
      </c>
      <c r="G250" s="4">
        <f ca="1">_xlfn.DAYS(TODAY(),Table1[[#This Row],[eventDate]])</f>
        <v>2266</v>
      </c>
      <c r="H250" t="s">
        <v>37</v>
      </c>
      <c r="I250" t="s">
        <v>34</v>
      </c>
      <c r="J250" t="s">
        <v>29</v>
      </c>
      <c r="K250" s="1">
        <v>44270</v>
      </c>
      <c r="L250">
        <f t="shared" si="20"/>
        <v>423</v>
      </c>
      <c r="M250">
        <f>IF(Table1[[#This Row],[Alive]]="No",Table1[[#This Row],[daysDeath]],Table1[[#This Row],[daysSince]])</f>
        <v>423</v>
      </c>
      <c r="N250">
        <v>126</v>
      </c>
      <c r="O250">
        <v>5.6</v>
      </c>
      <c r="P250">
        <v>276</v>
      </c>
      <c r="Q250">
        <v>19</v>
      </c>
      <c r="R250">
        <v>7.8</v>
      </c>
      <c r="S250">
        <v>77</v>
      </c>
      <c r="T250">
        <v>304</v>
      </c>
      <c r="U250">
        <v>21</v>
      </c>
      <c r="V250">
        <v>16</v>
      </c>
      <c r="W250">
        <v>79</v>
      </c>
      <c r="X250" t="s">
        <v>30</v>
      </c>
      <c r="Y250" t="s">
        <v>29</v>
      </c>
      <c r="Z250" t="s">
        <v>29</v>
      </c>
    </row>
    <row r="251" spans="1:26" ht="30" customHeight="1">
      <c r="A251">
        <v>2904456074</v>
      </c>
      <c r="B251">
        <f>COUNTIF(A:A,A251)</f>
        <v>1</v>
      </c>
      <c r="C251" s="1">
        <f t="shared" ca="1" si="18"/>
        <v>16556</v>
      </c>
      <c r="D251" s="1">
        <v>43853</v>
      </c>
      <c r="E251" s="4">
        <f ca="1">DATEDIF(Table1[[#This Row],[DOB]],Table1[[#This Row],[eventDate]],"Y")</f>
        <v>74</v>
      </c>
      <c r="F251" s="4" t="str">
        <f t="shared" si="19"/>
        <v>Man</v>
      </c>
      <c r="G251" s="4">
        <f ca="1">_xlfn.DAYS(TODAY(),Table1[[#This Row],[eventDate]])</f>
        <v>2260</v>
      </c>
      <c r="H251" t="s">
        <v>27</v>
      </c>
      <c r="I251" t="s">
        <v>28</v>
      </c>
      <c r="J251" t="s">
        <v>29</v>
      </c>
      <c r="K251" s="1">
        <v>43867</v>
      </c>
      <c r="L251">
        <f t="shared" si="20"/>
        <v>14</v>
      </c>
      <c r="M251">
        <f>IF(Table1[[#This Row],[Alive]]="No",Table1[[#This Row],[daysDeath]],Table1[[#This Row],[daysSince]])</f>
        <v>14</v>
      </c>
      <c r="N251">
        <v>94</v>
      </c>
      <c r="O251">
        <v>9.3000000000000007</v>
      </c>
      <c r="P251">
        <v>102</v>
      </c>
      <c r="Q251">
        <v>11</v>
      </c>
      <c r="R251">
        <v>9.6</v>
      </c>
      <c r="S251">
        <v>97</v>
      </c>
      <c r="T251">
        <v>422</v>
      </c>
      <c r="U251">
        <v>16</v>
      </c>
      <c r="V251">
        <v>96</v>
      </c>
      <c r="W251">
        <v>95.7</v>
      </c>
      <c r="X251" t="s">
        <v>30</v>
      </c>
      <c r="Y251" t="s">
        <v>29</v>
      </c>
      <c r="Z251" t="s">
        <v>31</v>
      </c>
    </row>
    <row r="252" spans="1:26" ht="30" customHeight="1">
      <c r="A252">
        <v>503681253</v>
      </c>
      <c r="B252">
        <f>COUNTIF(A:A,A252)</f>
        <v>1</v>
      </c>
      <c r="C252" s="1">
        <f t="shared" ca="1" si="18"/>
        <v>24902</v>
      </c>
      <c r="D252" s="1">
        <v>43858</v>
      </c>
      <c r="E252" s="4">
        <f ca="1">DATEDIF(Table1[[#This Row],[DOB]],Table1[[#This Row],[eventDate]],"Y")</f>
        <v>51</v>
      </c>
      <c r="F252" s="4" t="str">
        <f t="shared" si="19"/>
        <v>Man</v>
      </c>
      <c r="G252" s="4">
        <f ca="1">_xlfn.DAYS(TODAY(),Table1[[#This Row],[eventDate]])</f>
        <v>2255</v>
      </c>
      <c r="H252" t="s">
        <v>27</v>
      </c>
      <c r="I252" t="s">
        <v>28</v>
      </c>
      <c r="J252" t="s">
        <v>31</v>
      </c>
      <c r="L252" t="str">
        <f t="shared" si="20"/>
        <v/>
      </c>
      <c r="M252">
        <f ca="1">IF(Table1[[#This Row],[Alive]]="No",Table1[[#This Row],[daysDeath]],Table1[[#This Row],[daysSince]])</f>
        <v>2255</v>
      </c>
      <c r="N252">
        <v>141</v>
      </c>
      <c r="O252">
        <v>5.5</v>
      </c>
      <c r="P252">
        <v>199</v>
      </c>
      <c r="Q252">
        <v>10</v>
      </c>
      <c r="R252">
        <v>4.7</v>
      </c>
      <c r="S252">
        <v>62</v>
      </c>
      <c r="T252">
        <v>8</v>
      </c>
      <c r="U252">
        <v>39</v>
      </c>
      <c r="V252">
        <v>2</v>
      </c>
      <c r="W252">
        <v>81.099999999999994</v>
      </c>
      <c r="X252" t="s">
        <v>33</v>
      </c>
      <c r="Y252" t="s">
        <v>31</v>
      </c>
      <c r="Z252" t="s">
        <v>29</v>
      </c>
    </row>
    <row r="253" spans="1:26" ht="30" customHeight="1">
      <c r="A253">
        <v>1509637141</v>
      </c>
      <c r="B253">
        <f>COUNTIF(A:A,A253)</f>
        <v>1</v>
      </c>
      <c r="C253" s="1">
        <f t="shared" ca="1" si="18"/>
        <v>23269</v>
      </c>
      <c r="D253" s="1">
        <v>43867</v>
      </c>
      <c r="E253" s="4">
        <f ca="1">DATEDIF(Table1[[#This Row],[DOB]],Table1[[#This Row],[eventDate]],"Y")</f>
        <v>56</v>
      </c>
      <c r="F253" s="4" t="str">
        <f t="shared" si="19"/>
        <v>Woman</v>
      </c>
      <c r="G253" s="4">
        <f ca="1">_xlfn.DAYS(TODAY(),Table1[[#This Row],[eventDate]])</f>
        <v>2246</v>
      </c>
      <c r="H253" t="s">
        <v>32</v>
      </c>
      <c r="I253" t="s">
        <v>28</v>
      </c>
      <c r="J253" t="s">
        <v>29</v>
      </c>
      <c r="K253" s="1">
        <v>43961</v>
      </c>
      <c r="L253">
        <f t="shared" si="20"/>
        <v>94</v>
      </c>
      <c r="M253">
        <f>IF(Table1[[#This Row],[Alive]]="No",Table1[[#This Row],[daysDeath]],Table1[[#This Row],[daysSince]])</f>
        <v>94</v>
      </c>
      <c r="N253">
        <v>96</v>
      </c>
      <c r="O253">
        <v>7.2</v>
      </c>
      <c r="P253">
        <v>397</v>
      </c>
      <c r="Q253">
        <v>12</v>
      </c>
      <c r="R253">
        <v>1.5</v>
      </c>
      <c r="S253">
        <v>30</v>
      </c>
      <c r="T253">
        <v>163</v>
      </c>
      <c r="U253">
        <v>25</v>
      </c>
      <c r="V253">
        <v>37</v>
      </c>
      <c r="W253">
        <v>57.5</v>
      </c>
      <c r="X253" t="s">
        <v>30</v>
      </c>
      <c r="Y253" t="s">
        <v>31</v>
      </c>
      <c r="Z253" t="s">
        <v>29</v>
      </c>
    </row>
    <row r="254" spans="1:26" ht="30" customHeight="1">
      <c r="A254">
        <v>3008596193</v>
      </c>
      <c r="B254">
        <f>COUNTIF(A:A,A254)</f>
        <v>1</v>
      </c>
      <c r="C254" s="1">
        <f t="shared" ca="1" si="18"/>
        <v>21792</v>
      </c>
      <c r="D254" s="1">
        <v>43867</v>
      </c>
      <c r="E254" s="4">
        <f ca="1">DATEDIF(Table1[[#This Row],[DOB]],Table1[[#This Row],[eventDate]],"Y")</f>
        <v>60</v>
      </c>
      <c r="F254" s="4" t="str">
        <f t="shared" si="19"/>
        <v>Man</v>
      </c>
      <c r="G254" s="4">
        <f ca="1">_xlfn.DAYS(TODAY(),Table1[[#This Row],[eventDate]])</f>
        <v>2246</v>
      </c>
      <c r="H254" t="s">
        <v>27</v>
      </c>
      <c r="I254" t="s">
        <v>28</v>
      </c>
      <c r="J254" t="s">
        <v>29</v>
      </c>
      <c r="K254" s="1">
        <v>44330</v>
      </c>
      <c r="L254">
        <f t="shared" si="20"/>
        <v>463</v>
      </c>
      <c r="M254">
        <f>IF(Table1[[#This Row],[Alive]]="No",Table1[[#This Row],[daysDeath]],Table1[[#This Row],[daysSince]])</f>
        <v>463</v>
      </c>
      <c r="N254">
        <v>133</v>
      </c>
      <c r="O254">
        <v>8.1</v>
      </c>
      <c r="P254">
        <v>381</v>
      </c>
      <c r="Q254">
        <v>12</v>
      </c>
      <c r="R254">
        <v>2.6</v>
      </c>
      <c r="S254">
        <v>71</v>
      </c>
      <c r="T254">
        <v>542</v>
      </c>
      <c r="U254">
        <v>26</v>
      </c>
      <c r="V254">
        <v>78</v>
      </c>
      <c r="W254">
        <v>73</v>
      </c>
      <c r="X254" t="s">
        <v>30</v>
      </c>
      <c r="Y254" t="s">
        <v>31</v>
      </c>
      <c r="Z254" t="s">
        <v>29</v>
      </c>
    </row>
    <row r="255" spans="1:26" ht="30" customHeight="1">
      <c r="A255">
        <v>101627017</v>
      </c>
      <c r="B255">
        <f>COUNTIF(A:A,A255)</f>
        <v>1</v>
      </c>
      <c r="C255" s="1">
        <f t="shared" ca="1" si="18"/>
        <v>22647</v>
      </c>
      <c r="D255" s="1">
        <v>43881</v>
      </c>
      <c r="E255" s="4">
        <f ca="1">DATEDIF(Table1[[#This Row],[DOB]],Table1[[#This Row],[eventDate]],"Y")</f>
        <v>58</v>
      </c>
      <c r="F255" s="4" t="str">
        <f t="shared" si="19"/>
        <v>Man</v>
      </c>
      <c r="G255" s="4">
        <f ca="1">_xlfn.DAYS(TODAY(),Table1[[#This Row],[eventDate]])</f>
        <v>2232</v>
      </c>
      <c r="H255" t="s">
        <v>32</v>
      </c>
      <c r="I255" t="s">
        <v>28</v>
      </c>
      <c r="J255" t="s">
        <v>29</v>
      </c>
      <c r="K255" s="1">
        <v>43910</v>
      </c>
      <c r="L255">
        <f t="shared" si="20"/>
        <v>29</v>
      </c>
      <c r="M255">
        <f>IF(Table1[[#This Row],[Alive]]="No",Table1[[#This Row],[daysDeath]],Table1[[#This Row],[daysSince]])</f>
        <v>29</v>
      </c>
      <c r="N255">
        <v>122</v>
      </c>
      <c r="O255">
        <v>16.7</v>
      </c>
      <c r="P255">
        <v>404</v>
      </c>
      <c r="Q255">
        <v>13</v>
      </c>
      <c r="R255">
        <v>6</v>
      </c>
      <c r="S255">
        <v>74</v>
      </c>
      <c r="T255">
        <v>259</v>
      </c>
      <c r="U255">
        <v>23</v>
      </c>
      <c r="V255">
        <v>134</v>
      </c>
      <c r="W255">
        <v>95.5</v>
      </c>
      <c r="X255" t="s">
        <v>30</v>
      </c>
      <c r="Y255" t="s">
        <v>29</v>
      </c>
      <c r="Z255" t="s">
        <v>29</v>
      </c>
    </row>
    <row r="256" spans="1:26" ht="30" customHeight="1">
      <c r="A256">
        <v>2708483102</v>
      </c>
      <c r="B256">
        <f>COUNTIF(A:A,A256)</f>
        <v>1</v>
      </c>
      <c r="C256" s="1">
        <f t="shared" ca="1" si="18"/>
        <v>17772</v>
      </c>
      <c r="D256" s="1">
        <v>43881</v>
      </c>
      <c r="E256" s="4">
        <f ca="1">DATEDIF(Table1[[#This Row],[DOB]],Table1[[#This Row],[eventDate]],"Y")</f>
        <v>71</v>
      </c>
      <c r="F256" s="4" t="str">
        <f t="shared" si="19"/>
        <v>Woman</v>
      </c>
      <c r="G256" s="4">
        <f ca="1">_xlfn.DAYS(TODAY(),Table1[[#This Row],[eventDate]])</f>
        <v>2232</v>
      </c>
      <c r="H256" t="s">
        <v>32</v>
      </c>
      <c r="I256" t="s">
        <v>28</v>
      </c>
      <c r="J256" t="s">
        <v>29</v>
      </c>
      <c r="K256" s="1">
        <v>44411</v>
      </c>
      <c r="L256">
        <f t="shared" si="20"/>
        <v>530</v>
      </c>
      <c r="M256">
        <f>IF(Table1[[#This Row],[Alive]]="No",Table1[[#This Row],[daysDeath]],Table1[[#This Row],[daysSince]])</f>
        <v>530</v>
      </c>
      <c r="N256">
        <v>118</v>
      </c>
      <c r="O256">
        <v>6.4</v>
      </c>
      <c r="P256">
        <v>264</v>
      </c>
      <c r="Q256">
        <v>10</v>
      </c>
      <c r="R256">
        <v>4.4000000000000004</v>
      </c>
      <c r="S256">
        <v>72</v>
      </c>
      <c r="T256">
        <v>421</v>
      </c>
      <c r="U256">
        <v>27</v>
      </c>
      <c r="V256">
        <v>21</v>
      </c>
      <c r="W256">
        <v>68.599999999999994</v>
      </c>
      <c r="X256" t="s">
        <v>30</v>
      </c>
      <c r="Y256" t="s">
        <v>31</v>
      </c>
      <c r="Z256" t="s">
        <v>29</v>
      </c>
    </row>
    <row r="257" spans="1:26" ht="30" customHeight="1">
      <c r="A257">
        <v>2012606377</v>
      </c>
      <c r="B257">
        <f>COUNTIF(A:A,A257)</f>
        <v>1</v>
      </c>
      <c r="C257" s="1">
        <f t="shared" ca="1" si="18"/>
        <v>22270</v>
      </c>
      <c r="D257" s="1">
        <v>43900</v>
      </c>
      <c r="E257" s="4">
        <f ca="1">DATEDIF(Table1[[#This Row],[DOB]],Table1[[#This Row],[eventDate]],"Y")</f>
        <v>59</v>
      </c>
      <c r="F257" s="4" t="str">
        <f t="shared" si="19"/>
        <v>Man</v>
      </c>
      <c r="G257" s="4">
        <f ca="1">_xlfn.DAYS(TODAY(),Table1[[#This Row],[eventDate]])</f>
        <v>2213</v>
      </c>
      <c r="H257" t="s">
        <v>32</v>
      </c>
      <c r="I257" t="s">
        <v>28</v>
      </c>
      <c r="J257" t="s">
        <v>29</v>
      </c>
      <c r="K257" s="1">
        <v>44193</v>
      </c>
      <c r="L257">
        <f t="shared" si="20"/>
        <v>293</v>
      </c>
      <c r="M257">
        <f>IF(Table1[[#This Row],[Alive]]="No",Table1[[#This Row],[daysDeath]],Table1[[#This Row],[daysSince]])</f>
        <v>293</v>
      </c>
      <c r="N257">
        <v>138</v>
      </c>
      <c r="O257">
        <v>10.199999999999999</v>
      </c>
      <c r="P257">
        <v>335</v>
      </c>
      <c r="Q257">
        <v>11</v>
      </c>
      <c r="R257">
        <v>5.7</v>
      </c>
      <c r="S257">
        <v>80</v>
      </c>
      <c r="T257">
        <v>423</v>
      </c>
      <c r="U257">
        <v>24</v>
      </c>
      <c r="V257">
        <v>6</v>
      </c>
      <c r="W257">
        <v>68</v>
      </c>
      <c r="X257" t="s">
        <v>30</v>
      </c>
      <c r="Y257" t="s">
        <v>29</v>
      </c>
      <c r="Z257" t="s">
        <v>29</v>
      </c>
    </row>
    <row r="258" spans="1:26" ht="30" customHeight="1">
      <c r="A258">
        <v>2110356251</v>
      </c>
      <c r="B258">
        <f>COUNTIF(A:A,A258)</f>
        <v>1</v>
      </c>
      <c r="C258" s="1">
        <f t="shared" ca="1" si="18"/>
        <v>13078</v>
      </c>
      <c r="D258" s="1">
        <v>43903</v>
      </c>
      <c r="E258" s="4">
        <f ca="1">DATEDIF(Table1[[#This Row],[DOB]],Table1[[#This Row],[eventDate]],"Y")</f>
        <v>84</v>
      </c>
      <c r="F258" s="4" t="str">
        <f t="shared" si="19"/>
        <v>Man</v>
      </c>
      <c r="G258" s="4">
        <f ca="1">_xlfn.DAYS(TODAY(),Table1[[#This Row],[eventDate]])</f>
        <v>2210</v>
      </c>
      <c r="H258" t="s">
        <v>32</v>
      </c>
      <c r="I258" t="s">
        <v>34</v>
      </c>
      <c r="J258" t="s">
        <v>29</v>
      </c>
      <c r="K258" s="1">
        <v>44036</v>
      </c>
      <c r="L258">
        <f t="shared" si="20"/>
        <v>133</v>
      </c>
      <c r="M258">
        <f>IF(Table1[[#This Row],[Alive]]="No",Table1[[#This Row],[daysDeath]],Table1[[#This Row],[daysSince]])</f>
        <v>133</v>
      </c>
      <c r="N258">
        <v>130</v>
      </c>
      <c r="O258">
        <v>9.6</v>
      </c>
      <c r="P258">
        <v>359</v>
      </c>
      <c r="Q258">
        <v>13</v>
      </c>
      <c r="R258">
        <v>4.0999999999999996</v>
      </c>
      <c r="S258">
        <v>69</v>
      </c>
      <c r="T258">
        <v>188</v>
      </c>
      <c r="U258">
        <v>30</v>
      </c>
      <c r="V258">
        <v>24</v>
      </c>
      <c r="W258">
        <v>94</v>
      </c>
      <c r="X258" t="s">
        <v>30</v>
      </c>
      <c r="Y258" t="s">
        <v>31</v>
      </c>
      <c r="Z258" t="s">
        <v>29</v>
      </c>
    </row>
    <row r="259" spans="1:26" ht="30" customHeight="1">
      <c r="A259">
        <v>1606536265</v>
      </c>
      <c r="B259">
        <f>COUNTIF(A:A,A259)</f>
        <v>1</v>
      </c>
      <c r="C259" s="1">
        <f t="shared" ca="1" si="18"/>
        <v>19526</v>
      </c>
      <c r="D259" s="1">
        <v>43903</v>
      </c>
      <c r="E259" s="4">
        <f ca="1">DATEDIF(Table1[[#This Row],[DOB]],Table1[[#This Row],[eventDate]],"Y")</f>
        <v>66</v>
      </c>
      <c r="F259" s="4" t="str">
        <f t="shared" si="19"/>
        <v>Woman</v>
      </c>
      <c r="G259" s="4">
        <f ca="1">_xlfn.DAYS(TODAY(),Table1[[#This Row],[eventDate]])</f>
        <v>2210</v>
      </c>
      <c r="H259" t="s">
        <v>27</v>
      </c>
      <c r="I259" t="s">
        <v>34</v>
      </c>
      <c r="J259" t="s">
        <v>29</v>
      </c>
      <c r="K259" s="1">
        <v>43926</v>
      </c>
      <c r="L259">
        <f t="shared" si="20"/>
        <v>23</v>
      </c>
      <c r="M259">
        <f>IF(Table1[[#This Row],[Alive]]="No",Table1[[#This Row],[daysDeath]],Table1[[#This Row],[daysSince]])</f>
        <v>23</v>
      </c>
      <c r="N259">
        <v>100</v>
      </c>
      <c r="O259">
        <v>17.5</v>
      </c>
      <c r="P259">
        <v>179</v>
      </c>
      <c r="Q259">
        <v>12</v>
      </c>
      <c r="R259">
        <v>19.2</v>
      </c>
      <c r="S259">
        <v>273</v>
      </c>
      <c r="T259">
        <v>171</v>
      </c>
      <c r="U259">
        <v>12</v>
      </c>
      <c r="V259">
        <v>127</v>
      </c>
      <c r="X259" t="s">
        <v>33</v>
      </c>
      <c r="Y259" t="s">
        <v>29</v>
      </c>
      <c r="Z259" t="s">
        <v>29</v>
      </c>
    </row>
    <row r="260" spans="1:26" ht="30" customHeight="1">
      <c r="A260">
        <v>3001645202</v>
      </c>
      <c r="B260">
        <f>COUNTIF(A:A,A260)</f>
        <v>1</v>
      </c>
      <c r="C260" s="1">
        <f t="shared" ca="1" si="18"/>
        <v>23406</v>
      </c>
      <c r="D260" s="1">
        <v>43909</v>
      </c>
      <c r="E260" s="4">
        <f ca="1">DATEDIF(Table1[[#This Row],[DOB]],Table1[[#This Row],[eventDate]],"Y")</f>
        <v>56</v>
      </c>
      <c r="F260" s="4" t="str">
        <f t="shared" si="19"/>
        <v>Woman</v>
      </c>
      <c r="G260" s="4">
        <f ca="1">_xlfn.DAYS(TODAY(),Table1[[#This Row],[eventDate]])</f>
        <v>2204</v>
      </c>
      <c r="H260" t="s">
        <v>32</v>
      </c>
      <c r="I260" t="s">
        <v>28</v>
      </c>
      <c r="J260" t="s">
        <v>31</v>
      </c>
      <c r="L260" t="str">
        <f t="shared" si="20"/>
        <v/>
      </c>
      <c r="M260">
        <f ca="1">IF(Table1[[#This Row],[Alive]]="No",Table1[[#This Row],[daysDeath]],Table1[[#This Row],[daysSince]])</f>
        <v>2204</v>
      </c>
      <c r="N260">
        <v>107</v>
      </c>
      <c r="O260">
        <v>12.8</v>
      </c>
      <c r="P260">
        <v>161</v>
      </c>
      <c r="Q260">
        <v>12</v>
      </c>
      <c r="R260">
        <v>3.3</v>
      </c>
      <c r="S260">
        <v>73</v>
      </c>
      <c r="T260">
        <v>39</v>
      </c>
      <c r="U260">
        <v>20</v>
      </c>
      <c r="V260">
        <v>307</v>
      </c>
      <c r="W260">
        <v>60</v>
      </c>
      <c r="X260" t="s">
        <v>33</v>
      </c>
      <c r="Y260" t="s">
        <v>29</v>
      </c>
      <c r="Z260" t="s">
        <v>29</v>
      </c>
    </row>
    <row r="261" spans="1:26" ht="30" customHeight="1">
      <c r="A261">
        <v>1103563319</v>
      </c>
      <c r="B261">
        <f>COUNTIF(A:A,A261)</f>
        <v>1</v>
      </c>
      <c r="C261" s="1">
        <f t="shared" ca="1" si="18"/>
        <v>20525</v>
      </c>
      <c r="D261" s="1">
        <v>43928</v>
      </c>
      <c r="E261" s="4">
        <f ca="1">DATEDIF(Table1[[#This Row],[DOB]],Table1[[#This Row],[eventDate]],"Y")</f>
        <v>64</v>
      </c>
      <c r="F261" s="4" t="str">
        <f t="shared" si="19"/>
        <v>Man</v>
      </c>
      <c r="G261" s="4">
        <f ca="1">_xlfn.DAYS(TODAY(),Table1[[#This Row],[eventDate]])</f>
        <v>2185</v>
      </c>
      <c r="H261" t="s">
        <v>32</v>
      </c>
      <c r="I261" t="s">
        <v>28</v>
      </c>
      <c r="J261" t="s">
        <v>29</v>
      </c>
      <c r="K261" s="1">
        <v>44357</v>
      </c>
      <c r="L261">
        <f t="shared" si="20"/>
        <v>429</v>
      </c>
      <c r="M261">
        <f>IF(Table1[[#This Row],[Alive]]="No",Table1[[#This Row],[daysDeath]],Table1[[#This Row],[daysSince]])</f>
        <v>429</v>
      </c>
      <c r="N261">
        <v>140</v>
      </c>
      <c r="O261">
        <v>9</v>
      </c>
      <c r="P261">
        <v>287</v>
      </c>
      <c r="Q261">
        <v>12</v>
      </c>
      <c r="R261">
        <v>5.4</v>
      </c>
      <c r="S261">
        <v>74</v>
      </c>
      <c r="T261">
        <v>160</v>
      </c>
      <c r="U261">
        <v>33</v>
      </c>
      <c r="V261">
        <v>17</v>
      </c>
      <c r="X261" t="s">
        <v>30</v>
      </c>
      <c r="Y261" t="s">
        <v>31</v>
      </c>
      <c r="Z261" t="s">
        <v>29</v>
      </c>
    </row>
    <row r="262" spans="1:26" ht="30" customHeight="1">
      <c r="A262">
        <v>2204406023</v>
      </c>
      <c r="B262">
        <f>COUNTIF(A:A,A262)</f>
        <v>1</v>
      </c>
      <c r="C262" s="1">
        <f t="shared" ca="1" si="18"/>
        <v>14723</v>
      </c>
      <c r="D262" s="1">
        <v>43943</v>
      </c>
      <c r="E262" s="4">
        <f ca="1">DATEDIF(Table1[[#This Row],[DOB]],Table1[[#This Row],[eventDate]],"Y")</f>
        <v>80</v>
      </c>
      <c r="F262" s="4" t="str">
        <f t="shared" si="19"/>
        <v>Woman</v>
      </c>
      <c r="G262" s="4">
        <f ca="1">_xlfn.DAYS(TODAY(),Table1[[#This Row],[eventDate]])</f>
        <v>2170</v>
      </c>
      <c r="H262" t="s">
        <v>27</v>
      </c>
      <c r="I262" t="s">
        <v>34</v>
      </c>
      <c r="J262" t="s">
        <v>29</v>
      </c>
      <c r="K262" s="1">
        <v>43964</v>
      </c>
      <c r="L262">
        <f t="shared" si="20"/>
        <v>21</v>
      </c>
      <c r="M262">
        <f>IF(Table1[[#This Row],[Alive]]="No",Table1[[#This Row],[daysDeath]],Table1[[#This Row],[daysSince]])</f>
        <v>21</v>
      </c>
      <c r="N262">
        <v>109</v>
      </c>
      <c r="O262">
        <v>17.600000000000001</v>
      </c>
      <c r="P262">
        <v>217</v>
      </c>
      <c r="Q262">
        <v>15</v>
      </c>
      <c r="R262">
        <v>11.2</v>
      </c>
      <c r="S262">
        <v>77</v>
      </c>
      <c r="T262">
        <v>291</v>
      </c>
      <c r="U262">
        <v>12</v>
      </c>
      <c r="V262">
        <v>77</v>
      </c>
      <c r="W262">
        <v>46</v>
      </c>
      <c r="X262" t="s">
        <v>30</v>
      </c>
      <c r="Y262" t="s">
        <v>29</v>
      </c>
      <c r="Z262" t="s">
        <v>29</v>
      </c>
    </row>
    <row r="263" spans="1:26" ht="30" customHeight="1">
      <c r="A263">
        <v>2111586579</v>
      </c>
      <c r="B263">
        <f>COUNTIF(A:A,A263)</f>
        <v>1</v>
      </c>
      <c r="C263" s="1">
        <f t="shared" ca="1" si="18"/>
        <v>21510</v>
      </c>
      <c r="D263" s="1">
        <v>43958</v>
      </c>
      <c r="E263" s="4">
        <f ca="1">DATEDIF(Table1[[#This Row],[DOB]],Table1[[#This Row],[eventDate]],"Y")</f>
        <v>61</v>
      </c>
      <c r="F263" s="4" t="str">
        <f t="shared" si="19"/>
        <v>Man</v>
      </c>
      <c r="G263" s="4">
        <f ca="1">_xlfn.DAYS(TODAY(),Table1[[#This Row],[eventDate]])</f>
        <v>2155</v>
      </c>
      <c r="H263" t="s">
        <v>32</v>
      </c>
      <c r="I263" t="s">
        <v>34</v>
      </c>
      <c r="J263" t="s">
        <v>29</v>
      </c>
      <c r="K263" s="1">
        <v>43979</v>
      </c>
      <c r="L263">
        <f t="shared" si="20"/>
        <v>21</v>
      </c>
      <c r="M263">
        <f>IF(Table1[[#This Row],[Alive]]="No",Table1[[#This Row],[daysDeath]],Table1[[#This Row],[daysSince]])</f>
        <v>21</v>
      </c>
      <c r="N263">
        <v>104</v>
      </c>
      <c r="O263">
        <v>7.9</v>
      </c>
      <c r="P263">
        <v>208</v>
      </c>
      <c r="Q263">
        <v>13</v>
      </c>
      <c r="R263">
        <v>5</v>
      </c>
      <c r="S263">
        <v>109</v>
      </c>
      <c r="T263">
        <v>298</v>
      </c>
      <c r="U263">
        <v>21</v>
      </c>
      <c r="V263">
        <v>61</v>
      </c>
      <c r="X263" t="s">
        <v>30</v>
      </c>
      <c r="Y263" t="s">
        <v>31</v>
      </c>
      <c r="Z263" t="s">
        <v>31</v>
      </c>
    </row>
    <row r="264" spans="1:26" ht="30" customHeight="1">
      <c r="A264">
        <v>402376161</v>
      </c>
      <c r="B264">
        <f>COUNTIF(A:A,A264)</f>
        <v>1</v>
      </c>
      <c r="C264" s="1">
        <f t="shared" ca="1" si="18"/>
        <v>13550</v>
      </c>
      <c r="D264" s="1">
        <v>43998</v>
      </c>
      <c r="E264" s="4">
        <f ca="1">DATEDIF(Table1[[#This Row],[DOB]],Table1[[#This Row],[eventDate]],"Y")</f>
        <v>83</v>
      </c>
      <c r="F264" s="4" t="str">
        <f t="shared" si="19"/>
        <v>Woman</v>
      </c>
      <c r="G264" s="4">
        <f ca="1">_xlfn.DAYS(TODAY(),Table1[[#This Row],[eventDate]])</f>
        <v>2115</v>
      </c>
      <c r="H264" t="s">
        <v>32</v>
      </c>
      <c r="I264" t="s">
        <v>28</v>
      </c>
      <c r="J264" t="s">
        <v>29</v>
      </c>
      <c r="K264" s="1">
        <v>44086</v>
      </c>
      <c r="L264">
        <f t="shared" si="20"/>
        <v>88</v>
      </c>
      <c r="M264">
        <f>IF(Table1[[#This Row],[Alive]]="No",Table1[[#This Row],[daysDeath]],Table1[[#This Row],[daysSince]])</f>
        <v>88</v>
      </c>
      <c r="N264">
        <v>89</v>
      </c>
      <c r="O264">
        <v>10.1</v>
      </c>
      <c r="P264">
        <v>457</v>
      </c>
      <c r="Q264">
        <v>13</v>
      </c>
      <c r="R264">
        <v>9.9</v>
      </c>
      <c r="S264">
        <v>89</v>
      </c>
      <c r="T264">
        <v>217</v>
      </c>
      <c r="U264">
        <v>16</v>
      </c>
      <c r="V264">
        <v>86</v>
      </c>
      <c r="W264">
        <v>63.3</v>
      </c>
      <c r="X264" t="s">
        <v>30</v>
      </c>
      <c r="Y264" t="s">
        <v>29</v>
      </c>
      <c r="Z264" t="s">
        <v>29</v>
      </c>
    </row>
    <row r="265" spans="1:26" ht="30" customHeight="1">
      <c r="A265">
        <v>1703386418</v>
      </c>
      <c r="B265">
        <f>COUNTIF(A:A,A265)</f>
        <v>1</v>
      </c>
      <c r="C265" s="1">
        <f t="shared" ca="1" si="18"/>
        <v>13956</v>
      </c>
      <c r="D265" s="1">
        <v>44008</v>
      </c>
      <c r="E265" s="4">
        <f ca="1">DATEDIF(Table1[[#This Row],[DOB]],Table1[[#This Row],[eventDate]],"Y")</f>
        <v>82</v>
      </c>
      <c r="F265" s="4" t="str">
        <f t="shared" si="19"/>
        <v>Man</v>
      </c>
      <c r="G265" s="4">
        <f ca="1">_xlfn.DAYS(TODAY(),Table1[[#This Row],[eventDate]])</f>
        <v>2105</v>
      </c>
      <c r="H265" t="s">
        <v>32</v>
      </c>
      <c r="I265" t="s">
        <v>34</v>
      </c>
      <c r="J265" t="s">
        <v>31</v>
      </c>
      <c r="L265" t="str">
        <f t="shared" si="20"/>
        <v/>
      </c>
      <c r="M265">
        <f ca="1">IF(Table1[[#This Row],[Alive]]="No",Table1[[#This Row],[daysDeath]],Table1[[#This Row],[daysSince]])</f>
        <v>2105</v>
      </c>
      <c r="N265">
        <v>105</v>
      </c>
      <c r="O265">
        <v>10.1</v>
      </c>
      <c r="P265">
        <v>379</v>
      </c>
      <c r="Q265">
        <v>10</v>
      </c>
      <c r="R265">
        <v>6.7</v>
      </c>
      <c r="S265">
        <v>99</v>
      </c>
      <c r="T265">
        <v>15</v>
      </c>
      <c r="U265">
        <v>30</v>
      </c>
      <c r="V265">
        <v>5</v>
      </c>
      <c r="W265">
        <v>62</v>
      </c>
      <c r="X265" t="s">
        <v>33</v>
      </c>
      <c r="Y265" t="s">
        <v>29</v>
      </c>
      <c r="Z265" t="s">
        <v>29</v>
      </c>
    </row>
    <row r="266" spans="1:26" ht="30" customHeight="1">
      <c r="A266">
        <v>2309396133</v>
      </c>
      <c r="B266">
        <f>COUNTIF(A:A,A266)</f>
        <v>1</v>
      </c>
      <c r="C266" s="1">
        <f t="shared" ca="1" si="18"/>
        <v>14511</v>
      </c>
      <c r="D266" s="1">
        <v>44014</v>
      </c>
      <c r="E266" s="4">
        <f ca="1">DATEDIF(Table1[[#This Row],[DOB]],Table1[[#This Row],[eventDate]],"Y")</f>
        <v>80</v>
      </c>
      <c r="F266" s="4" t="str">
        <f t="shared" si="19"/>
        <v>Man</v>
      </c>
      <c r="G266" s="4">
        <f ca="1">_xlfn.DAYS(TODAY(),Table1[[#This Row],[eventDate]])</f>
        <v>2099</v>
      </c>
      <c r="H266" t="s">
        <v>27</v>
      </c>
      <c r="I266" t="s">
        <v>28</v>
      </c>
      <c r="J266" t="s">
        <v>29</v>
      </c>
      <c r="K266" s="1">
        <v>44558</v>
      </c>
      <c r="L266">
        <f t="shared" si="20"/>
        <v>544</v>
      </c>
      <c r="M266">
        <f>IF(Table1[[#This Row],[Alive]]="No",Table1[[#This Row],[daysDeath]],Table1[[#This Row],[daysSince]])</f>
        <v>544</v>
      </c>
      <c r="N266">
        <v>115</v>
      </c>
      <c r="O266">
        <v>9.6</v>
      </c>
      <c r="P266">
        <v>430</v>
      </c>
      <c r="Q266">
        <v>15</v>
      </c>
      <c r="R266">
        <v>6.4</v>
      </c>
      <c r="S266">
        <v>90</v>
      </c>
      <c r="T266">
        <v>30</v>
      </c>
      <c r="U266">
        <v>29</v>
      </c>
      <c r="V266">
        <v>34</v>
      </c>
      <c r="W266">
        <v>67.5</v>
      </c>
      <c r="X266" t="s">
        <v>33</v>
      </c>
      <c r="Y266" t="s">
        <v>31</v>
      </c>
      <c r="Z266" t="s">
        <v>29</v>
      </c>
    </row>
    <row r="267" spans="1:26" ht="30" customHeight="1">
      <c r="A267">
        <v>2612456325</v>
      </c>
      <c r="B267">
        <f>COUNTIF(A:A,A267)</f>
        <v>1</v>
      </c>
      <c r="C267" s="1">
        <f t="shared" ca="1" si="18"/>
        <v>16797</v>
      </c>
      <c r="D267" s="1">
        <v>44033</v>
      </c>
      <c r="E267" s="4">
        <f ca="1">DATEDIF(Table1[[#This Row],[DOB]],Table1[[#This Row],[eventDate]],"Y")</f>
        <v>74</v>
      </c>
      <c r="F267" s="4" t="str">
        <f t="shared" si="19"/>
        <v>Woman</v>
      </c>
      <c r="G267" s="4">
        <f ca="1">_xlfn.DAYS(TODAY(),Table1[[#This Row],[eventDate]])</f>
        <v>2080</v>
      </c>
      <c r="H267" t="s">
        <v>27</v>
      </c>
      <c r="I267" t="s">
        <v>28</v>
      </c>
      <c r="J267" t="s">
        <v>31</v>
      </c>
      <c r="L267" t="str">
        <f t="shared" si="20"/>
        <v/>
      </c>
      <c r="M267">
        <f ca="1">IF(Table1[[#This Row],[Alive]]="No",Table1[[#This Row],[daysDeath]],Table1[[#This Row],[daysSince]])</f>
        <v>2080</v>
      </c>
      <c r="N267">
        <v>115</v>
      </c>
      <c r="O267">
        <v>5.8</v>
      </c>
      <c r="P267">
        <v>260</v>
      </c>
      <c r="Q267">
        <v>11</v>
      </c>
      <c r="R267">
        <v>2.9</v>
      </c>
      <c r="S267">
        <v>75</v>
      </c>
      <c r="T267">
        <v>12</v>
      </c>
      <c r="U267">
        <v>26</v>
      </c>
      <c r="V267">
        <v>25</v>
      </c>
      <c r="W267">
        <v>69</v>
      </c>
      <c r="X267" t="s">
        <v>33</v>
      </c>
      <c r="Y267" t="s">
        <v>29</v>
      </c>
      <c r="Z267" t="s">
        <v>29</v>
      </c>
    </row>
    <row r="268" spans="1:26" ht="30" customHeight="1">
      <c r="A268">
        <v>1904473385</v>
      </c>
      <c r="B268">
        <f>COUNTIF(A:A,A268)</f>
        <v>1</v>
      </c>
      <c r="C268" s="1">
        <f t="shared" ca="1" si="18"/>
        <v>17276</v>
      </c>
      <c r="D268" s="1">
        <v>44041</v>
      </c>
      <c r="E268" s="4">
        <f ca="1">DATEDIF(Table1[[#This Row],[DOB]],Table1[[#This Row],[eventDate]],"Y")</f>
        <v>73</v>
      </c>
      <c r="F268" s="4" t="str">
        <f t="shared" si="19"/>
        <v>Woman</v>
      </c>
      <c r="G268" s="4">
        <f ca="1">_xlfn.DAYS(TODAY(),Table1[[#This Row],[eventDate]])</f>
        <v>2072</v>
      </c>
      <c r="H268" t="s">
        <v>32</v>
      </c>
      <c r="I268" t="s">
        <v>28</v>
      </c>
      <c r="J268" t="s">
        <v>29</v>
      </c>
      <c r="K268" s="1">
        <v>44857</v>
      </c>
      <c r="L268">
        <f t="shared" si="20"/>
        <v>816</v>
      </c>
      <c r="M268">
        <f>IF(Table1[[#This Row],[Alive]]="No",Table1[[#This Row],[daysDeath]],Table1[[#This Row],[daysSince]])</f>
        <v>816</v>
      </c>
      <c r="N268">
        <v>94</v>
      </c>
      <c r="O268">
        <v>10.4</v>
      </c>
      <c r="P268">
        <v>372</v>
      </c>
      <c r="Q268">
        <v>13</v>
      </c>
      <c r="R268">
        <v>4.0999999999999996</v>
      </c>
      <c r="S268">
        <v>53</v>
      </c>
      <c r="T268">
        <v>83</v>
      </c>
      <c r="U268">
        <v>22</v>
      </c>
      <c r="V268">
        <v>29</v>
      </c>
      <c r="W268">
        <v>71.599999999999994</v>
      </c>
      <c r="X268" t="s">
        <v>30</v>
      </c>
      <c r="Y268" t="s">
        <v>31</v>
      </c>
      <c r="Z268" t="s">
        <v>29</v>
      </c>
    </row>
    <row r="269" spans="1:26" ht="30" customHeight="1">
      <c r="A269">
        <v>2411370431</v>
      </c>
      <c r="B269">
        <f>COUNTIF(A:A,A269)</f>
        <v>1</v>
      </c>
      <c r="C269" s="1">
        <f t="shared" ref="C269:C307" ca="1" si="21">DATE(
    IF(VALUE(MID(TEXT(A269,"0000000000"),5,2)) &gt; VALUE(TEXT(TODAY(),"YY")),
       1900 + VALUE(MID(TEXT(A269,"0000000000"),5,2)),
       2000 + VALUE(MID(TEXT(A269,"0000000000"),5,2))
    ),
    VALUE(MID(TEXT(A269,"0000000000"),3,2)),
    VALUE(LEFT(TEXT(A269,"0000000000"),2))
)</f>
        <v>13843</v>
      </c>
      <c r="D269" s="1">
        <v>44084</v>
      </c>
      <c r="E269" s="4">
        <f ca="1">DATEDIF(Table1[[#This Row],[DOB]],Table1[[#This Row],[eventDate]],"Y")</f>
        <v>82</v>
      </c>
      <c r="F269" s="4" t="str">
        <f t="shared" ref="F269:F307" si="22">IF(MOD(VALUE(MID(TEXT(A269,"0000000000"),9,1)),2)=0,"Woman","Man")</f>
        <v>Man</v>
      </c>
      <c r="G269" s="4">
        <f ca="1">_xlfn.DAYS(TODAY(),Table1[[#This Row],[eventDate]])</f>
        <v>2029</v>
      </c>
      <c r="H269" t="s">
        <v>32</v>
      </c>
      <c r="I269" t="s">
        <v>34</v>
      </c>
      <c r="J269" t="s">
        <v>29</v>
      </c>
      <c r="K269" s="1">
        <v>44247</v>
      </c>
      <c r="L269">
        <f t="shared" ref="L269:L307" si="23">IF(J269="No",_xlfn.DAYS(K269,D269),"")</f>
        <v>163</v>
      </c>
      <c r="M269">
        <f>IF(Table1[[#This Row],[Alive]]="No",Table1[[#This Row],[daysDeath]],Table1[[#This Row],[daysSince]])</f>
        <v>163</v>
      </c>
      <c r="N269">
        <v>105</v>
      </c>
      <c r="O269">
        <v>5.6</v>
      </c>
      <c r="P269">
        <v>270</v>
      </c>
      <c r="Q269">
        <v>12</v>
      </c>
      <c r="R269">
        <v>4</v>
      </c>
      <c r="S269">
        <v>58</v>
      </c>
      <c r="T269">
        <v>597</v>
      </c>
      <c r="U269">
        <v>27</v>
      </c>
      <c r="V269">
        <v>5</v>
      </c>
      <c r="X269" t="s">
        <v>30</v>
      </c>
      <c r="Y269" t="s">
        <v>31</v>
      </c>
      <c r="Z269" t="s">
        <v>29</v>
      </c>
    </row>
    <row r="270" spans="1:26" ht="30" customHeight="1">
      <c r="A270">
        <v>2401576088</v>
      </c>
      <c r="B270">
        <f>COUNTIF(A:A,A270)</f>
        <v>1</v>
      </c>
      <c r="C270" s="1">
        <f t="shared" ca="1" si="21"/>
        <v>20844</v>
      </c>
      <c r="D270" s="1">
        <v>44088</v>
      </c>
      <c r="E270" s="4">
        <f ca="1">DATEDIF(Table1[[#This Row],[DOB]],Table1[[#This Row],[eventDate]],"Y")</f>
        <v>63</v>
      </c>
      <c r="F270" s="4" t="str">
        <f t="shared" si="22"/>
        <v>Woman</v>
      </c>
      <c r="G270" s="4">
        <f ca="1">_xlfn.DAYS(TODAY(),Table1[[#This Row],[eventDate]])</f>
        <v>2025</v>
      </c>
      <c r="H270" t="s">
        <v>32</v>
      </c>
      <c r="I270" t="s">
        <v>34</v>
      </c>
      <c r="J270" t="s">
        <v>29</v>
      </c>
      <c r="K270" s="1">
        <v>44141</v>
      </c>
      <c r="L270">
        <f t="shared" si="23"/>
        <v>53</v>
      </c>
      <c r="M270">
        <f>IF(Table1[[#This Row],[Alive]]="No",Table1[[#This Row],[daysDeath]],Table1[[#This Row],[daysSince]])</f>
        <v>53</v>
      </c>
      <c r="N270">
        <v>99</v>
      </c>
      <c r="O270">
        <v>20.2</v>
      </c>
      <c r="P270">
        <v>212</v>
      </c>
      <c r="Q270">
        <v>9</v>
      </c>
      <c r="R270">
        <v>7.1</v>
      </c>
      <c r="S270">
        <v>53</v>
      </c>
      <c r="T270">
        <v>190</v>
      </c>
      <c r="U270">
        <v>20</v>
      </c>
      <c r="V270">
        <v>12</v>
      </c>
      <c r="W270">
        <v>58.9</v>
      </c>
      <c r="X270" t="s">
        <v>30</v>
      </c>
      <c r="Y270" t="s">
        <v>31</v>
      </c>
      <c r="Z270" t="s">
        <v>29</v>
      </c>
    </row>
    <row r="271" spans="1:26" ht="30" customHeight="1">
      <c r="A271">
        <v>2407385330</v>
      </c>
      <c r="B271">
        <f>COUNTIF(A:A,A271)</f>
        <v>1</v>
      </c>
      <c r="C271" s="1">
        <f t="shared" ca="1" si="21"/>
        <v>14085</v>
      </c>
      <c r="D271" s="1">
        <v>44103</v>
      </c>
      <c r="E271" s="4">
        <f ca="1">DATEDIF(Table1[[#This Row],[DOB]],Table1[[#This Row],[eventDate]],"Y")</f>
        <v>82</v>
      </c>
      <c r="F271" s="4" t="str">
        <f t="shared" si="22"/>
        <v>Man</v>
      </c>
      <c r="G271" s="4">
        <f ca="1">_xlfn.DAYS(TODAY(),Table1[[#This Row],[eventDate]])</f>
        <v>2010</v>
      </c>
      <c r="H271" t="s">
        <v>27</v>
      </c>
      <c r="I271" t="s">
        <v>34</v>
      </c>
      <c r="J271" t="s">
        <v>29</v>
      </c>
      <c r="K271" s="1">
        <v>44175</v>
      </c>
      <c r="L271">
        <f t="shared" si="23"/>
        <v>72</v>
      </c>
      <c r="M271">
        <f>IF(Table1[[#This Row],[Alive]]="No",Table1[[#This Row],[daysDeath]],Table1[[#This Row],[daysSince]])</f>
        <v>72</v>
      </c>
      <c r="N271">
        <v>116</v>
      </c>
      <c r="O271">
        <v>5.2</v>
      </c>
      <c r="P271">
        <v>173</v>
      </c>
      <c r="Q271">
        <v>11</v>
      </c>
      <c r="R271">
        <v>10.6</v>
      </c>
      <c r="S271">
        <v>203</v>
      </c>
      <c r="T271">
        <v>158</v>
      </c>
      <c r="U271">
        <v>30</v>
      </c>
      <c r="V271">
        <v>15</v>
      </c>
      <c r="X271" t="s">
        <v>30</v>
      </c>
      <c r="Y271" t="s">
        <v>29</v>
      </c>
      <c r="Z271" t="s">
        <v>29</v>
      </c>
    </row>
    <row r="272" spans="1:26" ht="30" customHeight="1">
      <c r="A272">
        <v>3009446519</v>
      </c>
      <c r="B272">
        <f>COUNTIF(A:A,A272)</f>
        <v>1</v>
      </c>
      <c r="C272" s="1">
        <f t="shared" ca="1" si="21"/>
        <v>16345</v>
      </c>
      <c r="D272" s="1">
        <v>44116</v>
      </c>
      <c r="E272" s="4">
        <f ca="1">DATEDIF(Table1[[#This Row],[DOB]],Table1[[#This Row],[eventDate]],"Y")</f>
        <v>76</v>
      </c>
      <c r="F272" s="4" t="str">
        <f t="shared" si="22"/>
        <v>Man</v>
      </c>
      <c r="G272" s="4">
        <f ca="1">_xlfn.DAYS(TODAY(),Table1[[#This Row],[eventDate]])</f>
        <v>1997</v>
      </c>
      <c r="H272" t="s">
        <v>32</v>
      </c>
      <c r="I272" t="s">
        <v>34</v>
      </c>
      <c r="J272" t="s">
        <v>29</v>
      </c>
      <c r="K272" s="1">
        <v>44135</v>
      </c>
      <c r="L272">
        <f t="shared" si="23"/>
        <v>19</v>
      </c>
      <c r="M272">
        <f>IF(Table1[[#This Row],[Alive]]="No",Table1[[#This Row],[daysDeath]],Table1[[#This Row],[daysSince]])</f>
        <v>19</v>
      </c>
      <c r="N272">
        <v>122</v>
      </c>
      <c r="O272">
        <v>17.399999999999999</v>
      </c>
      <c r="P272">
        <v>251</v>
      </c>
      <c r="Q272">
        <v>13</v>
      </c>
      <c r="R272">
        <v>8.8000000000000007</v>
      </c>
      <c r="S272">
        <v>85</v>
      </c>
      <c r="T272">
        <v>439</v>
      </c>
      <c r="U272">
        <v>24</v>
      </c>
      <c r="V272">
        <v>54</v>
      </c>
      <c r="X272" t="s">
        <v>30</v>
      </c>
      <c r="Y272" t="s">
        <v>29</v>
      </c>
      <c r="Z272" t="s">
        <v>29</v>
      </c>
    </row>
    <row r="273" spans="1:26" ht="30" customHeight="1">
      <c r="A273">
        <v>1504526295</v>
      </c>
      <c r="B273">
        <f>COUNTIF(A:A,A273)</f>
        <v>1</v>
      </c>
      <c r="C273" s="1">
        <f t="shared" ca="1" si="21"/>
        <v>19099</v>
      </c>
      <c r="D273" s="1">
        <v>44117</v>
      </c>
      <c r="E273" s="4">
        <f ca="1">DATEDIF(Table1[[#This Row],[DOB]],Table1[[#This Row],[eventDate]],"Y")</f>
        <v>68</v>
      </c>
      <c r="F273" s="4" t="str">
        <f t="shared" si="22"/>
        <v>Man</v>
      </c>
      <c r="G273" s="4">
        <f ca="1">_xlfn.DAYS(TODAY(),Table1[[#This Row],[eventDate]])</f>
        <v>1996</v>
      </c>
      <c r="H273" t="s">
        <v>27</v>
      </c>
      <c r="I273" t="s">
        <v>34</v>
      </c>
      <c r="J273" t="s">
        <v>29</v>
      </c>
      <c r="K273" s="1">
        <v>44177</v>
      </c>
      <c r="L273">
        <f t="shared" si="23"/>
        <v>60</v>
      </c>
      <c r="M273">
        <f>IF(Table1[[#This Row],[Alive]]="No",Table1[[#This Row],[daysDeath]],Table1[[#This Row],[daysSince]])</f>
        <v>60</v>
      </c>
      <c r="N273">
        <v>111</v>
      </c>
      <c r="O273">
        <v>8.5</v>
      </c>
      <c r="P273">
        <v>380</v>
      </c>
      <c r="Q273">
        <v>12</v>
      </c>
      <c r="R273">
        <v>3.6</v>
      </c>
      <c r="S273">
        <v>46</v>
      </c>
      <c r="T273">
        <v>147</v>
      </c>
      <c r="U273">
        <v>22</v>
      </c>
      <c r="V273">
        <v>29</v>
      </c>
      <c r="W273">
        <v>65</v>
      </c>
      <c r="X273" t="s">
        <v>30</v>
      </c>
      <c r="Y273" t="s">
        <v>31</v>
      </c>
      <c r="Z273" t="s">
        <v>29</v>
      </c>
    </row>
    <row r="274" spans="1:26" ht="30" customHeight="1">
      <c r="A274">
        <v>1212678133</v>
      </c>
      <c r="B274">
        <f>COUNTIF(A:A,A274)</f>
        <v>1</v>
      </c>
      <c r="C274" s="1">
        <f t="shared" ca="1" si="21"/>
        <v>24818</v>
      </c>
      <c r="D274" s="1">
        <v>44120</v>
      </c>
      <c r="E274" s="4">
        <f ca="1">DATEDIF(Table1[[#This Row],[DOB]],Table1[[#This Row],[eventDate]],"Y")</f>
        <v>52</v>
      </c>
      <c r="F274" s="4" t="str">
        <f t="shared" si="22"/>
        <v>Man</v>
      </c>
      <c r="G274" s="4">
        <f ca="1">_xlfn.DAYS(TODAY(),Table1[[#This Row],[eventDate]])</f>
        <v>1993</v>
      </c>
      <c r="H274" t="s">
        <v>32</v>
      </c>
      <c r="I274" t="s">
        <v>34</v>
      </c>
      <c r="J274" t="s">
        <v>29</v>
      </c>
      <c r="K274" s="1">
        <v>44129</v>
      </c>
      <c r="L274">
        <f t="shared" si="23"/>
        <v>9</v>
      </c>
      <c r="M274">
        <f>IF(Table1[[#This Row],[Alive]]="No",Table1[[#This Row],[daysDeath]],Table1[[#This Row],[daysSince]])</f>
        <v>9</v>
      </c>
      <c r="N274">
        <v>117</v>
      </c>
      <c r="O274">
        <v>12.6</v>
      </c>
      <c r="P274">
        <v>161</v>
      </c>
      <c r="Q274">
        <v>20</v>
      </c>
      <c r="R274">
        <v>4.9000000000000004</v>
      </c>
      <c r="S274">
        <v>86</v>
      </c>
      <c r="T274">
        <v>401</v>
      </c>
      <c r="U274">
        <v>17</v>
      </c>
      <c r="V274">
        <v>98</v>
      </c>
      <c r="W274">
        <v>80</v>
      </c>
      <c r="X274" t="s">
        <v>30</v>
      </c>
      <c r="Y274" t="s">
        <v>31</v>
      </c>
      <c r="Z274" t="s">
        <v>29</v>
      </c>
    </row>
    <row r="275" spans="1:26" ht="30" customHeight="1">
      <c r="A275">
        <v>202656292</v>
      </c>
      <c r="B275">
        <f>COUNTIF(A:A,A275)</f>
        <v>1</v>
      </c>
      <c r="C275" s="1">
        <f t="shared" ca="1" si="21"/>
        <v>23775</v>
      </c>
      <c r="D275" s="1">
        <v>44130</v>
      </c>
      <c r="E275" s="4">
        <f ca="1">DATEDIF(Table1[[#This Row],[DOB]],Table1[[#This Row],[eventDate]],"Y")</f>
        <v>55</v>
      </c>
      <c r="F275" s="4" t="str">
        <f t="shared" si="22"/>
        <v>Man</v>
      </c>
      <c r="G275" s="4">
        <f ca="1">_xlfn.DAYS(TODAY(),Table1[[#This Row],[eventDate]])</f>
        <v>1983</v>
      </c>
      <c r="H275" t="s">
        <v>27</v>
      </c>
      <c r="I275" t="s">
        <v>34</v>
      </c>
      <c r="J275" t="s">
        <v>29</v>
      </c>
      <c r="K275" s="1">
        <v>44256</v>
      </c>
      <c r="L275">
        <f t="shared" si="23"/>
        <v>126</v>
      </c>
      <c r="M275">
        <f>IF(Table1[[#This Row],[Alive]]="No",Table1[[#This Row],[daysDeath]],Table1[[#This Row],[daysSince]])</f>
        <v>126</v>
      </c>
      <c r="N275">
        <v>127</v>
      </c>
      <c r="O275">
        <v>9.5</v>
      </c>
      <c r="P275">
        <v>382</v>
      </c>
      <c r="Q275">
        <v>12</v>
      </c>
      <c r="R275">
        <v>3.2</v>
      </c>
      <c r="S275">
        <v>66</v>
      </c>
      <c r="T275">
        <v>337</v>
      </c>
      <c r="U275">
        <v>23</v>
      </c>
      <c r="V275">
        <v>114</v>
      </c>
      <c r="W275">
        <v>114</v>
      </c>
      <c r="X275" t="s">
        <v>30</v>
      </c>
      <c r="Y275" t="s">
        <v>31</v>
      </c>
      <c r="Z275" t="s">
        <v>29</v>
      </c>
    </row>
    <row r="276" spans="1:26" ht="30" customHeight="1">
      <c r="A276">
        <v>902623702</v>
      </c>
      <c r="B276">
        <f>COUNTIF(A:A,A276)</f>
        <v>1</v>
      </c>
      <c r="C276" s="1">
        <f t="shared" ca="1" si="21"/>
        <v>22686</v>
      </c>
      <c r="D276" s="1">
        <v>44137</v>
      </c>
      <c r="E276" s="4">
        <f ca="1">DATEDIF(Table1[[#This Row],[DOB]],Table1[[#This Row],[eventDate]],"Y")</f>
        <v>58</v>
      </c>
      <c r="F276" s="4" t="str">
        <f t="shared" si="22"/>
        <v>Woman</v>
      </c>
      <c r="G276" s="4">
        <f ca="1">_xlfn.DAYS(TODAY(),Table1[[#This Row],[eventDate]])</f>
        <v>1976</v>
      </c>
      <c r="H276" t="s">
        <v>32</v>
      </c>
      <c r="I276" t="s">
        <v>34</v>
      </c>
      <c r="J276" t="s">
        <v>29</v>
      </c>
      <c r="K276" s="1">
        <v>44263</v>
      </c>
      <c r="L276">
        <f t="shared" si="23"/>
        <v>126</v>
      </c>
      <c r="M276">
        <f>IF(Table1[[#This Row],[Alive]]="No",Table1[[#This Row],[daysDeath]],Table1[[#This Row],[daysSince]])</f>
        <v>126</v>
      </c>
      <c r="N276">
        <v>101</v>
      </c>
      <c r="O276">
        <v>9.1999999999999993</v>
      </c>
      <c r="P276">
        <v>301</v>
      </c>
      <c r="Q276">
        <v>13</v>
      </c>
      <c r="R276">
        <v>1.3</v>
      </c>
      <c r="S276">
        <v>46</v>
      </c>
      <c r="T276">
        <v>225</v>
      </c>
      <c r="U276">
        <v>20</v>
      </c>
      <c r="V276">
        <v>127</v>
      </c>
      <c r="W276">
        <v>84</v>
      </c>
      <c r="X276" t="s">
        <v>30</v>
      </c>
      <c r="Y276" t="s">
        <v>29</v>
      </c>
      <c r="Z276" t="s">
        <v>29</v>
      </c>
    </row>
    <row r="277" spans="1:26" ht="30" customHeight="1">
      <c r="A277">
        <v>2502673453</v>
      </c>
      <c r="B277">
        <f>COUNTIF(A:A,A277)</f>
        <v>1</v>
      </c>
      <c r="C277" s="1">
        <f t="shared" ca="1" si="21"/>
        <v>24528</v>
      </c>
      <c r="D277" s="1">
        <v>44138</v>
      </c>
      <c r="E277" s="4">
        <f ca="1">DATEDIF(Table1[[#This Row],[DOB]],Table1[[#This Row],[eventDate]],"Y")</f>
        <v>53</v>
      </c>
      <c r="F277" s="4" t="str">
        <f t="shared" si="22"/>
        <v>Man</v>
      </c>
      <c r="G277" s="4">
        <f ca="1">_xlfn.DAYS(TODAY(),Table1[[#This Row],[eventDate]])</f>
        <v>1975</v>
      </c>
      <c r="H277" t="s">
        <v>32</v>
      </c>
      <c r="I277" t="s">
        <v>28</v>
      </c>
      <c r="J277" t="s">
        <v>31</v>
      </c>
      <c r="L277" t="str">
        <f t="shared" si="23"/>
        <v/>
      </c>
      <c r="M277">
        <f ca="1">IF(Table1[[#This Row],[Alive]]="No",Table1[[#This Row],[daysDeath]],Table1[[#This Row],[daysSince]])</f>
        <v>1975</v>
      </c>
      <c r="N277">
        <v>91</v>
      </c>
      <c r="O277">
        <v>18.7</v>
      </c>
      <c r="P277">
        <v>523</v>
      </c>
      <c r="Q277">
        <v>14</v>
      </c>
      <c r="R277">
        <v>22.4</v>
      </c>
      <c r="S277">
        <v>168</v>
      </c>
      <c r="T277">
        <v>21</v>
      </c>
      <c r="U277">
        <v>18</v>
      </c>
      <c r="V277">
        <v>72</v>
      </c>
      <c r="W277">
        <v>61.1</v>
      </c>
      <c r="X277" t="s">
        <v>33</v>
      </c>
      <c r="Y277" t="s">
        <v>31</v>
      </c>
      <c r="Z277" t="s">
        <v>29</v>
      </c>
    </row>
    <row r="278" spans="1:26" ht="30" customHeight="1">
      <c r="A278">
        <v>1706456190</v>
      </c>
      <c r="B278">
        <f>COUNTIF(A:A,A278)</f>
        <v>1</v>
      </c>
      <c r="C278" s="1">
        <f t="shared" ca="1" si="21"/>
        <v>16605</v>
      </c>
      <c r="D278" s="1">
        <v>44138</v>
      </c>
      <c r="E278" s="4">
        <f ca="1">DATEDIF(Table1[[#This Row],[DOB]],Table1[[#This Row],[eventDate]],"Y")</f>
        <v>75</v>
      </c>
      <c r="F278" s="4" t="str">
        <f t="shared" si="22"/>
        <v>Man</v>
      </c>
      <c r="G278" s="4">
        <f ca="1">_xlfn.DAYS(TODAY(),Table1[[#This Row],[eventDate]])</f>
        <v>1975</v>
      </c>
      <c r="H278" t="s">
        <v>32</v>
      </c>
      <c r="I278" t="s">
        <v>28</v>
      </c>
      <c r="J278" t="s">
        <v>29</v>
      </c>
      <c r="K278" s="1">
        <v>44149</v>
      </c>
      <c r="L278">
        <f t="shared" si="23"/>
        <v>11</v>
      </c>
      <c r="M278">
        <f>IF(Table1[[#This Row],[Alive]]="No",Table1[[#This Row],[daysDeath]],Table1[[#This Row],[daysSince]])</f>
        <v>11</v>
      </c>
      <c r="N278">
        <v>91</v>
      </c>
      <c r="O278">
        <v>1.7</v>
      </c>
      <c r="P278">
        <v>241</v>
      </c>
      <c r="Q278">
        <v>13</v>
      </c>
      <c r="R278">
        <v>4.9000000000000004</v>
      </c>
      <c r="S278">
        <v>46</v>
      </c>
      <c r="T278">
        <v>77</v>
      </c>
      <c r="U278">
        <v>21</v>
      </c>
      <c r="V278">
        <v>268</v>
      </c>
      <c r="W278">
        <v>81</v>
      </c>
      <c r="X278" t="s">
        <v>30</v>
      </c>
      <c r="Y278" t="s">
        <v>29</v>
      </c>
      <c r="Z278" t="s">
        <v>31</v>
      </c>
    </row>
    <row r="279" spans="1:26" ht="30" customHeight="1">
      <c r="A279">
        <v>240158296</v>
      </c>
      <c r="B279">
        <f>COUNTIF(A:A,A279)</f>
        <v>1</v>
      </c>
      <c r="C279" s="1">
        <v>21209</v>
      </c>
      <c r="D279" s="1">
        <v>44147</v>
      </c>
      <c r="E279" s="4">
        <f>DATEDIF(Table1[[#This Row],[DOB]],Table1[[#This Row],[eventDate]],"Y")</f>
        <v>62</v>
      </c>
      <c r="F279" s="4" t="str">
        <f t="shared" si="22"/>
        <v>Man</v>
      </c>
      <c r="G279" s="4">
        <f ca="1">_xlfn.DAYS(TODAY(),Table1[[#This Row],[eventDate]])</f>
        <v>1966</v>
      </c>
      <c r="H279" t="s">
        <v>32</v>
      </c>
      <c r="I279" t="s">
        <v>28</v>
      </c>
      <c r="J279" t="s">
        <v>29</v>
      </c>
      <c r="K279" s="1">
        <v>44609</v>
      </c>
      <c r="L279">
        <f t="shared" si="23"/>
        <v>462</v>
      </c>
      <c r="M279">
        <f>IF(Table1[[#This Row],[Alive]]="No",Table1[[#This Row],[daysDeath]],Table1[[#This Row],[daysSince]])</f>
        <v>462</v>
      </c>
      <c r="N279">
        <v>102</v>
      </c>
      <c r="O279">
        <v>10.8</v>
      </c>
      <c r="P279">
        <v>490</v>
      </c>
      <c r="Q279">
        <v>14</v>
      </c>
      <c r="R279">
        <v>5</v>
      </c>
      <c r="S279">
        <v>57</v>
      </c>
      <c r="T279">
        <v>298</v>
      </c>
      <c r="U279">
        <v>17</v>
      </c>
      <c r="V279">
        <v>43</v>
      </c>
      <c r="W279">
        <v>57</v>
      </c>
      <c r="X279" t="s">
        <v>30</v>
      </c>
      <c r="Y279" t="s">
        <v>31</v>
      </c>
      <c r="Z279" t="s">
        <v>29</v>
      </c>
    </row>
    <row r="280" spans="1:26" ht="30" customHeight="1">
      <c r="A280">
        <v>1906516103</v>
      </c>
      <c r="B280">
        <f>COUNTIF(A:A,A280)</f>
        <v>1</v>
      </c>
      <c r="C280" s="1">
        <f t="shared" ca="1" si="21"/>
        <v>18798</v>
      </c>
      <c r="D280" s="1">
        <v>44175</v>
      </c>
      <c r="E280" s="4">
        <f ca="1">DATEDIF(Table1[[#This Row],[DOB]],Table1[[#This Row],[eventDate]],"Y")</f>
        <v>69</v>
      </c>
      <c r="F280" s="4" t="str">
        <f t="shared" si="22"/>
        <v>Woman</v>
      </c>
      <c r="G280" s="4">
        <f ca="1">_xlfn.DAYS(TODAY(),Table1[[#This Row],[eventDate]])</f>
        <v>1938</v>
      </c>
      <c r="H280" t="s">
        <v>32</v>
      </c>
      <c r="I280" t="s">
        <v>28</v>
      </c>
      <c r="J280" t="s">
        <v>29</v>
      </c>
      <c r="K280" s="1">
        <v>44429</v>
      </c>
      <c r="L280">
        <f t="shared" si="23"/>
        <v>254</v>
      </c>
      <c r="M280">
        <f>IF(Table1[[#This Row],[Alive]]="No",Table1[[#This Row],[daysDeath]],Table1[[#This Row],[daysSince]])</f>
        <v>254</v>
      </c>
      <c r="N280">
        <v>108</v>
      </c>
      <c r="O280">
        <v>7.5</v>
      </c>
      <c r="P280">
        <v>124</v>
      </c>
      <c r="Q280">
        <v>19</v>
      </c>
      <c r="R280">
        <v>3.8</v>
      </c>
      <c r="S280">
        <v>48</v>
      </c>
      <c r="T280">
        <v>60</v>
      </c>
      <c r="U280">
        <v>15</v>
      </c>
      <c r="V280">
        <v>101</v>
      </c>
      <c r="W280">
        <v>80</v>
      </c>
      <c r="X280" t="s">
        <v>33</v>
      </c>
      <c r="Y280" t="s">
        <v>31</v>
      </c>
      <c r="Z280" t="s">
        <v>29</v>
      </c>
    </row>
    <row r="281" spans="1:26" ht="30" customHeight="1">
      <c r="A281">
        <v>1410570525</v>
      </c>
      <c r="B281">
        <f>COUNTIF(A:A,A281)</f>
        <v>1</v>
      </c>
      <c r="C281" s="1">
        <f t="shared" ca="1" si="21"/>
        <v>21107</v>
      </c>
      <c r="D281" s="1">
        <v>44176</v>
      </c>
      <c r="E281" s="4">
        <f ca="1">DATEDIF(Table1[[#This Row],[DOB]],Table1[[#This Row],[eventDate]],"Y")</f>
        <v>63</v>
      </c>
      <c r="F281" s="4" t="str">
        <f t="shared" si="22"/>
        <v>Woman</v>
      </c>
      <c r="G281" s="4">
        <f ca="1">_xlfn.DAYS(TODAY(),Table1[[#This Row],[eventDate]])</f>
        <v>1937</v>
      </c>
      <c r="H281" t="s">
        <v>32</v>
      </c>
      <c r="I281" t="s">
        <v>28</v>
      </c>
      <c r="J281" t="s">
        <v>29</v>
      </c>
      <c r="K281" s="1">
        <v>44223</v>
      </c>
      <c r="L281">
        <f t="shared" si="23"/>
        <v>47</v>
      </c>
      <c r="M281">
        <f>IF(Table1[[#This Row],[Alive]]="No",Table1[[#This Row],[daysDeath]],Table1[[#This Row],[daysSince]])</f>
        <v>47</v>
      </c>
      <c r="N281">
        <v>103</v>
      </c>
      <c r="O281">
        <v>11.7</v>
      </c>
      <c r="P281">
        <v>448</v>
      </c>
      <c r="Q281">
        <v>12</v>
      </c>
      <c r="R281">
        <v>3.9</v>
      </c>
      <c r="S281">
        <v>39</v>
      </c>
      <c r="T281">
        <v>363</v>
      </c>
      <c r="U281">
        <v>20</v>
      </c>
      <c r="V281">
        <v>103</v>
      </c>
      <c r="W281">
        <v>74</v>
      </c>
      <c r="X281" t="s">
        <v>30</v>
      </c>
      <c r="Y281" t="s">
        <v>31</v>
      </c>
      <c r="Z281" t="s">
        <v>31</v>
      </c>
    </row>
    <row r="282" spans="1:26" ht="30" customHeight="1">
      <c r="A282">
        <v>1603483012</v>
      </c>
      <c r="B282">
        <f>COUNTIF(A:A,A282)</f>
        <v>1</v>
      </c>
      <c r="C282" s="1">
        <f t="shared" ca="1" si="21"/>
        <v>17608</v>
      </c>
      <c r="D282" s="1">
        <v>44180</v>
      </c>
      <c r="E282" s="4">
        <f ca="1">DATEDIF(Table1[[#This Row],[DOB]],Table1[[#This Row],[eventDate]],"Y")</f>
        <v>72</v>
      </c>
      <c r="F282" s="4" t="str">
        <f t="shared" si="22"/>
        <v>Man</v>
      </c>
      <c r="G282" s="4">
        <f ca="1">_xlfn.DAYS(TODAY(),Table1[[#This Row],[eventDate]])</f>
        <v>1933</v>
      </c>
      <c r="H282" t="s">
        <v>32</v>
      </c>
      <c r="I282" t="s">
        <v>28</v>
      </c>
      <c r="J282" t="s">
        <v>29</v>
      </c>
      <c r="K282" s="1">
        <v>44230</v>
      </c>
      <c r="L282">
        <f t="shared" si="23"/>
        <v>50</v>
      </c>
      <c r="M282">
        <f>IF(Table1[[#This Row],[Alive]]="No",Table1[[#This Row],[daysDeath]],Table1[[#This Row],[daysSince]])</f>
        <v>50</v>
      </c>
      <c r="N282">
        <v>117</v>
      </c>
      <c r="O282">
        <v>6.6</v>
      </c>
      <c r="P282">
        <v>214</v>
      </c>
      <c r="Q282">
        <v>12</v>
      </c>
      <c r="R282">
        <v>3.7</v>
      </c>
      <c r="S282">
        <v>79</v>
      </c>
      <c r="T282">
        <v>421</v>
      </c>
      <c r="U282">
        <v>26</v>
      </c>
      <c r="V282">
        <v>28</v>
      </c>
      <c r="W282">
        <v>78</v>
      </c>
      <c r="X282" t="s">
        <v>30</v>
      </c>
      <c r="Y282" t="s">
        <v>31</v>
      </c>
      <c r="Z282" t="s">
        <v>29</v>
      </c>
    </row>
    <row r="283" spans="1:26" ht="30" customHeight="1">
      <c r="A283">
        <v>1509626069</v>
      </c>
      <c r="B283">
        <f>COUNTIF(A:A,A283)</f>
        <v>1</v>
      </c>
      <c r="C283" s="1">
        <f t="shared" ca="1" si="21"/>
        <v>22904</v>
      </c>
      <c r="D283" s="1">
        <v>44192</v>
      </c>
      <c r="E283" s="4">
        <f ca="1">DATEDIF(Table1[[#This Row],[DOB]],Table1[[#This Row],[eventDate]],"Y")</f>
        <v>58</v>
      </c>
      <c r="F283" s="4" t="str">
        <f t="shared" si="22"/>
        <v>Woman</v>
      </c>
      <c r="G283" s="4">
        <f ca="1">_xlfn.DAYS(TODAY(),Table1[[#This Row],[eventDate]])</f>
        <v>1921</v>
      </c>
      <c r="H283" t="s">
        <v>27</v>
      </c>
      <c r="I283" t="s">
        <v>28</v>
      </c>
      <c r="J283" t="s">
        <v>29</v>
      </c>
      <c r="K283" s="1">
        <v>44201</v>
      </c>
      <c r="L283">
        <f t="shared" si="23"/>
        <v>9</v>
      </c>
      <c r="M283">
        <f>IF(Table1[[#This Row],[Alive]]="No",Table1[[#This Row],[daysDeath]],Table1[[#This Row],[daysSince]])</f>
        <v>9</v>
      </c>
      <c r="N283">
        <v>122</v>
      </c>
      <c r="O283">
        <v>14.7</v>
      </c>
      <c r="P283">
        <v>145</v>
      </c>
      <c r="Q283">
        <v>13</v>
      </c>
      <c r="R283">
        <v>11.2</v>
      </c>
      <c r="S283">
        <v>90</v>
      </c>
      <c r="T283">
        <v>469</v>
      </c>
      <c r="U283">
        <v>17</v>
      </c>
      <c r="V283">
        <v>41</v>
      </c>
      <c r="W283">
        <v>50</v>
      </c>
      <c r="X283" t="s">
        <v>30</v>
      </c>
      <c r="Y283" t="s">
        <v>29</v>
      </c>
      <c r="Z283" t="s">
        <v>31</v>
      </c>
    </row>
    <row r="284" spans="1:26" ht="30" customHeight="1">
      <c r="A284">
        <v>2102406202</v>
      </c>
      <c r="B284">
        <f>COUNTIF(A:A,A284)</f>
        <v>1</v>
      </c>
      <c r="C284" s="1">
        <f t="shared" ca="1" si="21"/>
        <v>14662</v>
      </c>
      <c r="D284" s="1">
        <v>44201</v>
      </c>
      <c r="E284" s="4">
        <f ca="1">DATEDIF(Table1[[#This Row],[DOB]],Table1[[#This Row],[eventDate]],"Y")</f>
        <v>80</v>
      </c>
      <c r="F284" s="4" t="str">
        <f t="shared" si="22"/>
        <v>Woman</v>
      </c>
      <c r="G284" s="4">
        <f ca="1">_xlfn.DAYS(TODAY(),Table1[[#This Row],[eventDate]])</f>
        <v>1912</v>
      </c>
      <c r="H284" t="s">
        <v>32</v>
      </c>
      <c r="I284" t="s">
        <v>28</v>
      </c>
      <c r="J284" t="s">
        <v>29</v>
      </c>
      <c r="K284" s="1">
        <v>44250</v>
      </c>
      <c r="L284">
        <f t="shared" si="23"/>
        <v>49</v>
      </c>
      <c r="M284">
        <f>IF(Table1[[#This Row],[Alive]]="No",Table1[[#This Row],[daysDeath]],Table1[[#This Row],[daysSince]])</f>
        <v>49</v>
      </c>
      <c r="N284">
        <v>87</v>
      </c>
      <c r="O284">
        <v>17.2</v>
      </c>
      <c r="P284">
        <v>3441</v>
      </c>
      <c r="Q284">
        <v>16</v>
      </c>
      <c r="R284">
        <v>8.6999999999999993</v>
      </c>
      <c r="S284">
        <v>64</v>
      </c>
      <c r="T284">
        <v>414</v>
      </c>
      <c r="U284">
        <v>17</v>
      </c>
      <c r="V284">
        <v>122</v>
      </c>
      <c r="W284">
        <v>63.5</v>
      </c>
      <c r="X284" t="s">
        <v>30</v>
      </c>
      <c r="Y284" t="s">
        <v>31</v>
      </c>
      <c r="Z284" t="s">
        <v>29</v>
      </c>
    </row>
    <row r="285" spans="1:26" ht="30" customHeight="1">
      <c r="A285">
        <v>2105386342</v>
      </c>
      <c r="B285">
        <f>COUNTIF(A:A,A285)</f>
        <v>1</v>
      </c>
      <c r="C285" s="1">
        <f t="shared" ca="1" si="21"/>
        <v>14021</v>
      </c>
      <c r="D285" s="1">
        <v>44210</v>
      </c>
      <c r="E285" s="4">
        <f ca="1">DATEDIF(Table1[[#This Row],[DOB]],Table1[[#This Row],[eventDate]],"Y")</f>
        <v>82</v>
      </c>
      <c r="F285" s="4" t="str">
        <f t="shared" si="22"/>
        <v>Woman</v>
      </c>
      <c r="G285" s="4">
        <f ca="1">_xlfn.DAYS(TODAY(),Table1[[#This Row],[eventDate]])</f>
        <v>1903</v>
      </c>
      <c r="H285" t="s">
        <v>32</v>
      </c>
      <c r="I285" t="s">
        <v>34</v>
      </c>
      <c r="J285" t="s">
        <v>29</v>
      </c>
      <c r="K285" s="1">
        <v>44319</v>
      </c>
      <c r="L285">
        <f t="shared" si="23"/>
        <v>109</v>
      </c>
      <c r="M285">
        <f>IF(Table1[[#This Row],[Alive]]="No",Table1[[#This Row],[daysDeath]],Table1[[#This Row],[daysSince]])</f>
        <v>109</v>
      </c>
      <c r="N285">
        <v>122</v>
      </c>
      <c r="O285">
        <v>6</v>
      </c>
      <c r="P285">
        <v>224</v>
      </c>
      <c r="Q285">
        <v>12</v>
      </c>
      <c r="R285">
        <v>6.7</v>
      </c>
      <c r="S285">
        <v>100</v>
      </c>
      <c r="T285">
        <v>374</v>
      </c>
      <c r="U285">
        <v>23</v>
      </c>
      <c r="V285">
        <v>5</v>
      </c>
      <c r="X285" t="s">
        <v>30</v>
      </c>
      <c r="Y285" t="s">
        <v>29</v>
      </c>
      <c r="Z285" t="s">
        <v>29</v>
      </c>
    </row>
    <row r="286" spans="1:26" ht="30" customHeight="1">
      <c r="A286">
        <v>2610733011</v>
      </c>
      <c r="B286">
        <f>COUNTIF(A:A,A286)</f>
        <v>1</v>
      </c>
      <c r="C286" s="1">
        <f t="shared" ca="1" si="21"/>
        <v>26963</v>
      </c>
      <c r="D286" s="1">
        <v>44217</v>
      </c>
      <c r="E286" s="4">
        <f ca="1">DATEDIF(Table1[[#This Row],[DOB]],Table1[[#This Row],[eventDate]],"Y")</f>
        <v>47</v>
      </c>
      <c r="F286" s="4" t="str">
        <f t="shared" si="22"/>
        <v>Man</v>
      </c>
      <c r="G286" s="4">
        <f ca="1">_xlfn.DAYS(TODAY(),Table1[[#This Row],[eventDate]])</f>
        <v>1896</v>
      </c>
      <c r="H286" t="s">
        <v>27</v>
      </c>
      <c r="I286" t="s">
        <v>28</v>
      </c>
      <c r="J286" t="s">
        <v>31</v>
      </c>
      <c r="L286" t="str">
        <f t="shared" si="23"/>
        <v/>
      </c>
      <c r="M286">
        <f ca="1">IF(Table1[[#This Row],[Alive]]="No",Table1[[#This Row],[daysDeath]],Table1[[#This Row],[daysSince]])</f>
        <v>1896</v>
      </c>
      <c r="N286">
        <v>117</v>
      </c>
      <c r="O286">
        <v>7.1</v>
      </c>
      <c r="P286">
        <v>216</v>
      </c>
      <c r="Q286">
        <v>11</v>
      </c>
      <c r="R286">
        <v>3.5</v>
      </c>
      <c r="S286">
        <v>66</v>
      </c>
      <c r="T286">
        <v>391</v>
      </c>
      <c r="U286">
        <v>22</v>
      </c>
      <c r="V286">
        <v>27</v>
      </c>
      <c r="X286" t="s">
        <v>33</v>
      </c>
      <c r="Y286" t="s">
        <v>29</v>
      </c>
      <c r="Z286" t="s">
        <v>29</v>
      </c>
    </row>
    <row r="287" spans="1:26" ht="30" customHeight="1">
      <c r="A287">
        <v>2505416095</v>
      </c>
      <c r="B287">
        <f>COUNTIF(A:A,A287)</f>
        <v>1</v>
      </c>
      <c r="C287" s="1">
        <f t="shared" ca="1" si="21"/>
        <v>15121</v>
      </c>
      <c r="D287" s="1">
        <v>44229</v>
      </c>
      <c r="E287" s="4">
        <f ca="1">DATEDIF(Table1[[#This Row],[DOB]],Table1[[#This Row],[eventDate]],"Y")</f>
        <v>79</v>
      </c>
      <c r="F287" s="4" t="str">
        <f t="shared" si="22"/>
        <v>Man</v>
      </c>
      <c r="G287" s="4">
        <f ca="1">_xlfn.DAYS(TODAY(),Table1[[#This Row],[eventDate]])</f>
        <v>1884</v>
      </c>
      <c r="H287" t="s">
        <v>27</v>
      </c>
      <c r="I287" t="s">
        <v>28</v>
      </c>
      <c r="J287" t="s">
        <v>29</v>
      </c>
      <c r="K287" s="1">
        <v>44283</v>
      </c>
      <c r="L287">
        <f t="shared" si="23"/>
        <v>54</v>
      </c>
      <c r="M287">
        <f>IF(Table1[[#This Row],[Alive]]="No",Table1[[#This Row],[daysDeath]],Table1[[#This Row],[daysSince]])</f>
        <v>54</v>
      </c>
      <c r="N287">
        <v>82</v>
      </c>
      <c r="O287">
        <v>6.5</v>
      </c>
      <c r="P287">
        <v>217</v>
      </c>
      <c r="Q287">
        <v>11</v>
      </c>
      <c r="R287">
        <v>11</v>
      </c>
      <c r="S287">
        <v>96</v>
      </c>
      <c r="T287">
        <v>425</v>
      </c>
      <c r="U287">
        <v>20</v>
      </c>
      <c r="V287">
        <v>7</v>
      </c>
      <c r="W287">
        <v>76</v>
      </c>
      <c r="X287" t="s">
        <v>30</v>
      </c>
      <c r="Y287" t="s">
        <v>29</v>
      </c>
      <c r="Z287" t="s">
        <v>29</v>
      </c>
    </row>
    <row r="288" spans="1:26" ht="30" customHeight="1">
      <c r="A288">
        <v>2407746384</v>
      </c>
      <c r="B288">
        <f>COUNTIF(A:A,A288)</f>
        <v>1</v>
      </c>
      <c r="C288" s="1">
        <f t="shared" ca="1" si="21"/>
        <v>27234</v>
      </c>
      <c r="D288" s="1">
        <v>44238</v>
      </c>
      <c r="E288" s="4">
        <f ca="1">DATEDIF(Table1[[#This Row],[DOB]],Table1[[#This Row],[eventDate]],"Y")</f>
        <v>46</v>
      </c>
      <c r="F288" s="4" t="str">
        <f t="shared" si="22"/>
        <v>Woman</v>
      </c>
      <c r="G288" s="4">
        <f ca="1">_xlfn.DAYS(TODAY(),Table1[[#This Row],[eventDate]])</f>
        <v>1875</v>
      </c>
      <c r="H288" t="s">
        <v>32</v>
      </c>
      <c r="I288" t="s">
        <v>34</v>
      </c>
      <c r="J288" t="s">
        <v>29</v>
      </c>
      <c r="K288" s="1">
        <v>44409</v>
      </c>
      <c r="L288">
        <f t="shared" si="23"/>
        <v>171</v>
      </c>
      <c r="M288">
        <f>IF(Table1[[#This Row],[Alive]]="No",Table1[[#This Row],[daysDeath]],Table1[[#This Row],[daysSince]])</f>
        <v>171</v>
      </c>
      <c r="N288">
        <v>100</v>
      </c>
      <c r="O288">
        <v>11.2</v>
      </c>
      <c r="P288">
        <v>266</v>
      </c>
      <c r="Q288">
        <v>14</v>
      </c>
      <c r="R288">
        <v>5.4</v>
      </c>
      <c r="S288">
        <v>41</v>
      </c>
      <c r="T288">
        <v>219</v>
      </c>
      <c r="U288">
        <v>24</v>
      </c>
      <c r="V288">
        <v>24</v>
      </c>
      <c r="W288">
        <v>115</v>
      </c>
      <c r="X288" t="s">
        <v>30</v>
      </c>
      <c r="Y288" t="s">
        <v>29</v>
      </c>
      <c r="Z288" t="s">
        <v>29</v>
      </c>
    </row>
    <row r="289" spans="1:26" ht="30" customHeight="1">
      <c r="A289">
        <v>1203406355</v>
      </c>
      <c r="B289">
        <f>COUNTIF(A:A,A289)</f>
        <v>1</v>
      </c>
      <c r="C289" s="1">
        <f t="shared" ca="1" si="21"/>
        <v>14682</v>
      </c>
      <c r="D289" s="1">
        <v>44239</v>
      </c>
      <c r="E289" s="4">
        <f ca="1">DATEDIF(Table1[[#This Row],[DOB]],Table1[[#This Row],[eventDate]],"Y")</f>
        <v>80</v>
      </c>
      <c r="F289" s="4" t="str">
        <f t="shared" si="22"/>
        <v>Man</v>
      </c>
      <c r="G289" s="4">
        <f ca="1">_xlfn.DAYS(TODAY(),Table1[[#This Row],[eventDate]])</f>
        <v>1874</v>
      </c>
      <c r="H289" t="s">
        <v>32</v>
      </c>
      <c r="I289" t="s">
        <v>34</v>
      </c>
      <c r="J289" t="s">
        <v>29</v>
      </c>
      <c r="K289" s="1">
        <v>44909</v>
      </c>
      <c r="L289">
        <f t="shared" si="23"/>
        <v>670</v>
      </c>
      <c r="M289">
        <f>IF(Table1[[#This Row],[Alive]]="No",Table1[[#This Row],[daysDeath]],Table1[[#This Row],[daysSince]])</f>
        <v>670</v>
      </c>
      <c r="N289">
        <v>97</v>
      </c>
      <c r="O289">
        <v>8</v>
      </c>
      <c r="P289">
        <v>271</v>
      </c>
      <c r="Q289">
        <v>13</v>
      </c>
      <c r="R289">
        <v>8.9</v>
      </c>
      <c r="S289">
        <v>121</v>
      </c>
      <c r="T289">
        <v>320</v>
      </c>
      <c r="U289">
        <v>22</v>
      </c>
      <c r="V289">
        <v>38</v>
      </c>
      <c r="W289">
        <v>80</v>
      </c>
      <c r="X289" t="s">
        <v>30</v>
      </c>
      <c r="Y289" t="s">
        <v>29</v>
      </c>
      <c r="Z289" t="s">
        <v>29</v>
      </c>
    </row>
    <row r="290" spans="1:26" ht="30" customHeight="1">
      <c r="A290">
        <v>304366137</v>
      </c>
      <c r="B290">
        <f>COUNTIF(A:A,A290)</f>
        <v>1</v>
      </c>
      <c r="C290" s="1">
        <f t="shared" ca="1" si="21"/>
        <v>13243</v>
      </c>
      <c r="D290" s="1">
        <v>44245</v>
      </c>
      <c r="E290" s="4">
        <f ca="1">DATEDIF(Table1[[#This Row],[DOB]],Table1[[#This Row],[eventDate]],"Y")</f>
        <v>84</v>
      </c>
      <c r="F290" s="4" t="str">
        <f t="shared" si="22"/>
        <v>Man</v>
      </c>
      <c r="G290" s="4">
        <f ca="1">_xlfn.DAYS(TODAY(),Table1[[#This Row],[eventDate]])</f>
        <v>1868</v>
      </c>
      <c r="H290" t="s">
        <v>32</v>
      </c>
      <c r="I290" t="s">
        <v>28</v>
      </c>
      <c r="J290" t="s">
        <v>29</v>
      </c>
      <c r="K290" s="1">
        <v>44341</v>
      </c>
      <c r="L290">
        <f t="shared" si="23"/>
        <v>96</v>
      </c>
      <c r="M290">
        <f>IF(Table1[[#This Row],[Alive]]="No",Table1[[#This Row],[daysDeath]],Table1[[#This Row],[daysSince]])</f>
        <v>96</v>
      </c>
      <c r="N290">
        <v>115</v>
      </c>
      <c r="O290">
        <v>10.199999999999999</v>
      </c>
      <c r="P290">
        <v>255</v>
      </c>
      <c r="Q290">
        <v>13</v>
      </c>
      <c r="R290">
        <v>7.2</v>
      </c>
      <c r="S290">
        <v>76</v>
      </c>
      <c r="T290">
        <v>132</v>
      </c>
      <c r="U290">
        <v>24</v>
      </c>
      <c r="V290">
        <v>121</v>
      </c>
      <c r="W290">
        <v>80.599999999999994</v>
      </c>
      <c r="X290" t="s">
        <v>33</v>
      </c>
      <c r="Y290" t="s">
        <v>29</v>
      </c>
      <c r="Z290" t="s">
        <v>29</v>
      </c>
    </row>
    <row r="291" spans="1:26" ht="30" customHeight="1">
      <c r="A291">
        <v>711466343</v>
      </c>
      <c r="B291">
        <f>COUNTIF(A:A,A291)</f>
        <v>1</v>
      </c>
      <c r="C291" s="1">
        <f t="shared" ca="1" si="21"/>
        <v>17113</v>
      </c>
      <c r="D291" s="1">
        <v>44250</v>
      </c>
      <c r="E291" s="4">
        <f ca="1">DATEDIF(Table1[[#This Row],[DOB]],Table1[[#This Row],[eventDate]],"Y")</f>
        <v>74</v>
      </c>
      <c r="F291" s="4" t="str">
        <f t="shared" si="22"/>
        <v>Woman</v>
      </c>
      <c r="G291" s="4">
        <f ca="1">_xlfn.DAYS(TODAY(),Table1[[#This Row],[eventDate]])</f>
        <v>1863</v>
      </c>
      <c r="H291" t="s">
        <v>32</v>
      </c>
      <c r="I291" t="s">
        <v>34</v>
      </c>
      <c r="J291" t="s">
        <v>29</v>
      </c>
      <c r="K291" s="1">
        <v>44300</v>
      </c>
      <c r="L291">
        <f t="shared" si="23"/>
        <v>50</v>
      </c>
      <c r="M291">
        <f>IF(Table1[[#This Row],[Alive]]="No",Table1[[#This Row],[daysDeath]],Table1[[#This Row],[daysSince]])</f>
        <v>50</v>
      </c>
      <c r="N291">
        <v>112</v>
      </c>
      <c r="O291">
        <v>7</v>
      </c>
      <c r="P291">
        <v>242</v>
      </c>
      <c r="Q291">
        <v>13</v>
      </c>
      <c r="R291">
        <v>2.7</v>
      </c>
      <c r="S291">
        <v>46</v>
      </c>
      <c r="T291">
        <v>221</v>
      </c>
      <c r="U291">
        <v>19</v>
      </c>
      <c r="V291">
        <v>21</v>
      </c>
      <c r="X291" t="s">
        <v>30</v>
      </c>
      <c r="Y291" t="s">
        <v>29</v>
      </c>
      <c r="Z291" t="s">
        <v>29</v>
      </c>
    </row>
    <row r="292" spans="1:26" ht="30" customHeight="1">
      <c r="A292">
        <v>701551534</v>
      </c>
      <c r="B292">
        <f>COUNTIF(A:A,A292)</f>
        <v>1</v>
      </c>
      <c r="C292" s="1">
        <f t="shared" ca="1" si="21"/>
        <v>20096</v>
      </c>
      <c r="D292" s="1">
        <v>44251</v>
      </c>
      <c r="E292" s="4">
        <f ca="1">DATEDIF(Table1[[#This Row],[DOB]],Table1[[#This Row],[eventDate]],"Y")</f>
        <v>66</v>
      </c>
      <c r="F292" s="4" t="str">
        <f t="shared" si="22"/>
        <v>Man</v>
      </c>
      <c r="G292" s="4">
        <f ca="1">_xlfn.DAYS(TODAY(),Table1[[#This Row],[eventDate]])</f>
        <v>1862</v>
      </c>
      <c r="H292" t="s">
        <v>32</v>
      </c>
      <c r="I292" t="s">
        <v>34</v>
      </c>
      <c r="J292" t="s">
        <v>29</v>
      </c>
      <c r="K292" s="1">
        <v>45303</v>
      </c>
      <c r="L292">
        <f t="shared" si="23"/>
        <v>1052</v>
      </c>
      <c r="M292">
        <f>IF(Table1[[#This Row],[Alive]]="No",Table1[[#This Row],[daysDeath]],Table1[[#This Row],[daysSince]])</f>
        <v>1052</v>
      </c>
      <c r="N292">
        <v>1115</v>
      </c>
      <c r="O292">
        <v>5.2</v>
      </c>
      <c r="P292">
        <v>274</v>
      </c>
      <c r="Q292">
        <v>11</v>
      </c>
      <c r="R292">
        <v>5.2</v>
      </c>
      <c r="S292">
        <v>83</v>
      </c>
      <c r="T292">
        <v>295</v>
      </c>
      <c r="U292">
        <v>24</v>
      </c>
      <c r="V292">
        <v>7</v>
      </c>
      <c r="W292">
        <v>69</v>
      </c>
      <c r="X292" t="s">
        <v>30</v>
      </c>
      <c r="Y292" t="s">
        <v>29</v>
      </c>
      <c r="Z292" t="s">
        <v>29</v>
      </c>
    </row>
    <row r="293" spans="1:26" ht="30" customHeight="1">
      <c r="A293">
        <v>2201475016</v>
      </c>
      <c r="B293">
        <f>COUNTIF(A:A,A293)</f>
        <v>1</v>
      </c>
      <c r="C293" s="1">
        <f t="shared" ca="1" si="21"/>
        <v>17189</v>
      </c>
      <c r="D293" s="1">
        <v>44267</v>
      </c>
      <c r="E293" s="4">
        <f ca="1">DATEDIF(Table1[[#This Row],[DOB]],Table1[[#This Row],[eventDate]],"Y")</f>
        <v>74</v>
      </c>
      <c r="F293" s="4" t="str">
        <f t="shared" si="22"/>
        <v>Man</v>
      </c>
      <c r="G293" s="4">
        <f ca="1">_xlfn.DAYS(TODAY(),Table1[[#This Row],[eventDate]])</f>
        <v>1846</v>
      </c>
      <c r="H293" t="s">
        <v>32</v>
      </c>
      <c r="I293" t="s">
        <v>34</v>
      </c>
      <c r="J293" t="s">
        <v>29</v>
      </c>
      <c r="K293" s="1">
        <v>44276</v>
      </c>
      <c r="L293">
        <f t="shared" si="23"/>
        <v>9</v>
      </c>
      <c r="M293">
        <f>IF(Table1[[#This Row],[Alive]]="No",Table1[[#This Row],[daysDeath]],Table1[[#This Row],[daysSince]])</f>
        <v>9</v>
      </c>
      <c r="N293">
        <v>94</v>
      </c>
      <c r="O293">
        <v>6.2</v>
      </c>
      <c r="P293">
        <v>256</v>
      </c>
      <c r="Q293">
        <v>12</v>
      </c>
      <c r="R293">
        <v>4</v>
      </c>
      <c r="S293">
        <v>60</v>
      </c>
      <c r="T293">
        <v>67</v>
      </c>
      <c r="U293">
        <v>24</v>
      </c>
      <c r="V293">
        <v>18</v>
      </c>
      <c r="W293">
        <v>77.8</v>
      </c>
      <c r="X293" t="s">
        <v>30</v>
      </c>
      <c r="Y293" t="s">
        <v>29</v>
      </c>
      <c r="Z293" t="s">
        <v>31</v>
      </c>
    </row>
    <row r="294" spans="1:26" ht="30" customHeight="1">
      <c r="A294">
        <v>1302606018</v>
      </c>
      <c r="B294">
        <f>COUNTIF(A:A,A294)</f>
        <v>1</v>
      </c>
      <c r="C294" s="1">
        <f t="shared" ca="1" si="21"/>
        <v>21959</v>
      </c>
      <c r="D294" s="1">
        <v>44270</v>
      </c>
      <c r="E294" s="4">
        <f ca="1">DATEDIF(Table1[[#This Row],[DOB]],Table1[[#This Row],[eventDate]],"Y")</f>
        <v>61</v>
      </c>
      <c r="F294" s="4" t="str">
        <f t="shared" si="22"/>
        <v>Man</v>
      </c>
      <c r="G294" s="4">
        <f ca="1">_xlfn.DAYS(TODAY(),Table1[[#This Row],[eventDate]])</f>
        <v>1843</v>
      </c>
      <c r="H294" t="s">
        <v>32</v>
      </c>
      <c r="I294" t="s">
        <v>34</v>
      </c>
      <c r="J294" t="s">
        <v>29</v>
      </c>
      <c r="K294" s="1">
        <v>44326</v>
      </c>
      <c r="L294">
        <f t="shared" si="23"/>
        <v>56</v>
      </c>
      <c r="M294">
        <f>IF(Table1[[#This Row],[Alive]]="No",Table1[[#This Row],[daysDeath]],Table1[[#This Row],[daysSince]])</f>
        <v>56</v>
      </c>
      <c r="N294">
        <v>103</v>
      </c>
      <c r="O294">
        <v>8.3000000000000007</v>
      </c>
      <c r="P294">
        <v>243</v>
      </c>
      <c r="Q294">
        <v>14</v>
      </c>
      <c r="R294">
        <v>3.6</v>
      </c>
      <c r="S294">
        <v>39</v>
      </c>
      <c r="T294">
        <v>103</v>
      </c>
      <c r="U294">
        <v>14</v>
      </c>
      <c r="V294">
        <v>85</v>
      </c>
      <c r="X294" t="s">
        <v>30</v>
      </c>
      <c r="Y294" t="s">
        <v>29</v>
      </c>
      <c r="Z294" t="s">
        <v>29</v>
      </c>
    </row>
    <row r="295" spans="1:26" ht="30" customHeight="1">
      <c r="A295">
        <v>2507643609</v>
      </c>
      <c r="B295">
        <f>COUNTIF(A:A,A295)</f>
        <v>1</v>
      </c>
      <c r="C295" s="1">
        <f t="shared" ca="1" si="21"/>
        <v>23583</v>
      </c>
      <c r="D295" s="1">
        <v>44273</v>
      </c>
      <c r="E295" s="4">
        <f ca="1">DATEDIF(Table1[[#This Row],[DOB]],Table1[[#This Row],[eventDate]],"Y")</f>
        <v>56</v>
      </c>
      <c r="F295" s="4" t="str">
        <f t="shared" si="22"/>
        <v>Woman</v>
      </c>
      <c r="G295" s="4">
        <f ca="1">_xlfn.DAYS(TODAY(),Table1[[#This Row],[eventDate]])</f>
        <v>1840</v>
      </c>
      <c r="H295" t="s">
        <v>27</v>
      </c>
      <c r="I295" t="s">
        <v>28</v>
      </c>
      <c r="J295" t="s">
        <v>29</v>
      </c>
      <c r="K295" s="1">
        <v>44310</v>
      </c>
      <c r="L295">
        <f t="shared" si="23"/>
        <v>37</v>
      </c>
      <c r="M295">
        <f>IF(Table1[[#This Row],[Alive]]="No",Table1[[#This Row],[daysDeath]],Table1[[#This Row],[daysSince]])</f>
        <v>37</v>
      </c>
      <c r="N295">
        <v>92</v>
      </c>
      <c r="O295">
        <v>13.3</v>
      </c>
      <c r="P295">
        <v>305</v>
      </c>
      <c r="Q295">
        <v>13</v>
      </c>
      <c r="R295">
        <v>3.5</v>
      </c>
      <c r="S295">
        <v>58</v>
      </c>
      <c r="T295">
        <v>389</v>
      </c>
      <c r="U295">
        <v>18</v>
      </c>
      <c r="V295">
        <v>23</v>
      </c>
      <c r="W295">
        <v>56</v>
      </c>
      <c r="X295" t="s">
        <v>30</v>
      </c>
      <c r="Y295" t="s">
        <v>31</v>
      </c>
      <c r="Z295" t="s">
        <v>29</v>
      </c>
    </row>
    <row r="296" spans="1:26" ht="30" customHeight="1">
      <c r="A296">
        <v>3005623114</v>
      </c>
      <c r="B296">
        <f>COUNTIF(A:A,A296)</f>
        <v>1</v>
      </c>
      <c r="C296" s="1">
        <f t="shared" ca="1" si="21"/>
        <v>22796</v>
      </c>
      <c r="D296" s="1">
        <v>44277</v>
      </c>
      <c r="E296" s="4">
        <f ca="1">DATEDIF(Table1[[#This Row],[DOB]],Table1[[#This Row],[eventDate]],"Y")</f>
        <v>58</v>
      </c>
      <c r="F296" s="4" t="str">
        <f t="shared" si="22"/>
        <v>Man</v>
      </c>
      <c r="G296" s="4">
        <f ca="1">_xlfn.DAYS(TODAY(),Table1[[#This Row],[eventDate]])</f>
        <v>1836</v>
      </c>
      <c r="H296" t="s">
        <v>27</v>
      </c>
      <c r="I296" t="s">
        <v>34</v>
      </c>
      <c r="J296" t="s">
        <v>29</v>
      </c>
      <c r="K296" s="1">
        <v>44283</v>
      </c>
      <c r="L296">
        <f t="shared" si="23"/>
        <v>6</v>
      </c>
      <c r="M296">
        <f>IF(Table1[[#This Row],[Alive]]="No",Table1[[#This Row],[daysDeath]],Table1[[#This Row],[daysSince]])</f>
        <v>6</v>
      </c>
      <c r="N296">
        <v>92</v>
      </c>
      <c r="O296">
        <v>7.7</v>
      </c>
      <c r="P296">
        <v>247</v>
      </c>
      <c r="Q296">
        <v>15</v>
      </c>
      <c r="R296">
        <v>12.8</v>
      </c>
      <c r="S296">
        <v>280</v>
      </c>
      <c r="T296">
        <v>512</v>
      </c>
      <c r="U296">
        <v>15</v>
      </c>
      <c r="V296">
        <v>75</v>
      </c>
      <c r="X296" t="s">
        <v>30</v>
      </c>
      <c r="Y296" t="s">
        <v>31</v>
      </c>
      <c r="Z296" t="s">
        <v>31</v>
      </c>
    </row>
    <row r="297" spans="1:26" ht="30" customHeight="1">
      <c r="A297">
        <v>1611593344</v>
      </c>
      <c r="B297">
        <f>COUNTIF(A:A,A297)</f>
        <v>1</v>
      </c>
      <c r="C297" s="1">
        <f t="shared" ca="1" si="21"/>
        <v>21870</v>
      </c>
      <c r="D297" s="1">
        <v>44287</v>
      </c>
      <c r="E297" s="4">
        <f ca="1">DATEDIF(Table1[[#This Row],[DOB]],Table1[[#This Row],[eventDate]],"Y")</f>
        <v>61</v>
      </c>
      <c r="F297" s="4" t="str">
        <f t="shared" si="22"/>
        <v>Woman</v>
      </c>
      <c r="G297" s="4">
        <f ca="1">_xlfn.DAYS(TODAY(),Table1[[#This Row],[eventDate]])</f>
        <v>1826</v>
      </c>
      <c r="H297" t="s">
        <v>27</v>
      </c>
      <c r="I297" t="s">
        <v>28</v>
      </c>
      <c r="J297" t="s">
        <v>31</v>
      </c>
      <c r="L297" t="str">
        <f t="shared" si="23"/>
        <v/>
      </c>
      <c r="M297">
        <f ca="1">IF(Table1[[#This Row],[Alive]]="No",Table1[[#This Row],[daysDeath]],Table1[[#This Row],[daysSince]])</f>
        <v>1826</v>
      </c>
      <c r="N297">
        <v>86</v>
      </c>
      <c r="O297">
        <v>12.7</v>
      </c>
      <c r="P297">
        <v>560</v>
      </c>
      <c r="Q297">
        <v>13</v>
      </c>
      <c r="R297">
        <v>3.2</v>
      </c>
      <c r="S297">
        <v>26</v>
      </c>
      <c r="T297">
        <v>130</v>
      </c>
      <c r="U297">
        <v>16</v>
      </c>
      <c r="V297">
        <v>164</v>
      </c>
      <c r="W297">
        <v>95</v>
      </c>
      <c r="X297" t="s">
        <v>33</v>
      </c>
      <c r="Y297" t="s">
        <v>29</v>
      </c>
      <c r="Z297" t="s">
        <v>29</v>
      </c>
    </row>
    <row r="298" spans="1:26" ht="30" customHeight="1">
      <c r="A298">
        <v>2705616543</v>
      </c>
      <c r="B298">
        <f>COUNTIF(A:A,A298)</f>
        <v>1</v>
      </c>
      <c r="C298" s="1">
        <f t="shared" ca="1" si="21"/>
        <v>22428</v>
      </c>
      <c r="D298" s="1">
        <v>44294</v>
      </c>
      <c r="E298" s="4">
        <f ca="1">DATEDIF(Table1[[#This Row],[DOB]],Table1[[#This Row],[eventDate]],"Y")</f>
        <v>59</v>
      </c>
      <c r="F298" s="4" t="str">
        <f t="shared" si="22"/>
        <v>Woman</v>
      </c>
      <c r="G298" s="4">
        <f ca="1">_xlfn.DAYS(TODAY(),Table1[[#This Row],[eventDate]])</f>
        <v>1819</v>
      </c>
      <c r="H298" t="s">
        <v>32</v>
      </c>
      <c r="I298" t="s">
        <v>28</v>
      </c>
      <c r="J298" t="s">
        <v>29</v>
      </c>
      <c r="K298" s="1">
        <v>45018</v>
      </c>
      <c r="L298">
        <f t="shared" si="23"/>
        <v>724</v>
      </c>
      <c r="M298">
        <f>IF(Table1[[#This Row],[Alive]]="No",Table1[[#This Row],[daysDeath]],Table1[[#This Row],[daysSince]])</f>
        <v>724</v>
      </c>
      <c r="N298">
        <v>115</v>
      </c>
      <c r="O298">
        <v>12</v>
      </c>
      <c r="P298">
        <v>329</v>
      </c>
      <c r="Q298">
        <v>13</v>
      </c>
      <c r="R298">
        <v>3.4</v>
      </c>
      <c r="S298">
        <v>33</v>
      </c>
      <c r="T298">
        <v>452</v>
      </c>
      <c r="U298">
        <v>28</v>
      </c>
      <c r="V298">
        <v>73</v>
      </c>
      <c r="W298">
        <v>56</v>
      </c>
      <c r="X298" t="s">
        <v>30</v>
      </c>
      <c r="Y298" t="s">
        <v>31</v>
      </c>
      <c r="Z298" t="s">
        <v>29</v>
      </c>
    </row>
    <row r="299" spans="1:26" ht="30" customHeight="1">
      <c r="A299">
        <v>404456383</v>
      </c>
      <c r="B299">
        <f>COUNTIF(A:A,A299)</f>
        <v>1</v>
      </c>
      <c r="C299" s="1">
        <f t="shared" ca="1" si="21"/>
        <v>16531</v>
      </c>
      <c r="D299" s="1">
        <v>44301</v>
      </c>
      <c r="E299" s="4">
        <f ca="1">DATEDIF(Table1[[#This Row],[DOB]],Table1[[#This Row],[eventDate]],"Y")</f>
        <v>76</v>
      </c>
      <c r="F299" s="4" t="str">
        <f t="shared" si="22"/>
        <v>Woman</v>
      </c>
      <c r="G299" s="4">
        <f ca="1">_xlfn.DAYS(TODAY(),Table1[[#This Row],[eventDate]])</f>
        <v>1812</v>
      </c>
      <c r="H299" t="s">
        <v>32</v>
      </c>
      <c r="I299" t="s">
        <v>34</v>
      </c>
      <c r="J299" t="s">
        <v>29</v>
      </c>
      <c r="K299" s="1">
        <v>44396</v>
      </c>
      <c r="L299">
        <f t="shared" si="23"/>
        <v>95</v>
      </c>
      <c r="M299">
        <f>IF(Table1[[#This Row],[Alive]]="No",Table1[[#This Row],[daysDeath]],Table1[[#This Row],[daysSince]])</f>
        <v>95</v>
      </c>
      <c r="N299">
        <v>109</v>
      </c>
      <c r="O299">
        <v>6.9</v>
      </c>
      <c r="P299">
        <v>672</v>
      </c>
      <c r="Q299">
        <v>11</v>
      </c>
      <c r="R299">
        <v>5.3</v>
      </c>
      <c r="S299">
        <v>64</v>
      </c>
      <c r="T299">
        <v>213</v>
      </c>
      <c r="U299">
        <v>27</v>
      </c>
      <c r="V299">
        <v>77</v>
      </c>
      <c r="W299">
        <v>73</v>
      </c>
      <c r="X299" t="s">
        <v>30</v>
      </c>
      <c r="Y299" t="s">
        <v>29</v>
      </c>
      <c r="Z299" t="s">
        <v>29</v>
      </c>
    </row>
    <row r="300" spans="1:26" ht="30" customHeight="1">
      <c r="A300">
        <v>501366091</v>
      </c>
      <c r="B300">
        <f>COUNTIF(A:A,A300)</f>
        <v>1</v>
      </c>
      <c r="C300" s="1">
        <f t="shared" ca="1" si="21"/>
        <v>13154</v>
      </c>
      <c r="D300" s="1">
        <v>44313</v>
      </c>
      <c r="E300" s="4">
        <f ca="1">DATEDIF(Table1[[#This Row],[DOB]],Table1[[#This Row],[eventDate]],"Y")</f>
        <v>85</v>
      </c>
      <c r="F300" s="4" t="str">
        <f t="shared" si="22"/>
        <v>Man</v>
      </c>
      <c r="G300" s="4">
        <f ca="1">_xlfn.DAYS(TODAY(),Table1[[#This Row],[eventDate]])</f>
        <v>1800</v>
      </c>
      <c r="H300" t="s">
        <v>27</v>
      </c>
      <c r="I300" t="s">
        <v>34</v>
      </c>
      <c r="J300" t="s">
        <v>29</v>
      </c>
      <c r="K300" s="1">
        <v>44347</v>
      </c>
      <c r="L300">
        <f t="shared" si="23"/>
        <v>34</v>
      </c>
      <c r="M300">
        <f>IF(Table1[[#This Row],[Alive]]="No",Table1[[#This Row],[daysDeath]],Table1[[#This Row],[daysSince]])</f>
        <v>34</v>
      </c>
      <c r="N300">
        <v>89</v>
      </c>
      <c r="O300">
        <v>5.6</v>
      </c>
      <c r="P300">
        <v>159</v>
      </c>
      <c r="Q300">
        <v>12</v>
      </c>
      <c r="R300">
        <v>5.6</v>
      </c>
      <c r="S300">
        <v>79</v>
      </c>
      <c r="T300">
        <v>351</v>
      </c>
      <c r="U300">
        <v>24</v>
      </c>
      <c r="V300">
        <v>18</v>
      </c>
      <c r="W300">
        <v>65</v>
      </c>
      <c r="X300" t="s">
        <v>30</v>
      </c>
      <c r="Y300" t="s">
        <v>29</v>
      </c>
      <c r="Z300" t="s">
        <v>29</v>
      </c>
    </row>
    <row r="301" spans="1:26" ht="30" customHeight="1">
      <c r="A301">
        <v>1903486262</v>
      </c>
      <c r="B301">
        <f>COUNTIF(A:A,A301)</f>
        <v>1</v>
      </c>
      <c r="C301" s="1">
        <f t="shared" ca="1" si="21"/>
        <v>17611</v>
      </c>
      <c r="D301" s="1">
        <v>44315</v>
      </c>
      <c r="E301" s="4">
        <f ca="1">DATEDIF(Table1[[#This Row],[DOB]],Table1[[#This Row],[eventDate]],"Y")</f>
        <v>73</v>
      </c>
      <c r="F301" s="4" t="str">
        <f t="shared" si="22"/>
        <v>Woman</v>
      </c>
      <c r="G301" s="4">
        <f ca="1">_xlfn.DAYS(TODAY(),Table1[[#This Row],[eventDate]])</f>
        <v>1798</v>
      </c>
      <c r="H301" t="s">
        <v>32</v>
      </c>
      <c r="I301" t="s">
        <v>28</v>
      </c>
      <c r="J301" t="s">
        <v>29</v>
      </c>
      <c r="K301" s="1">
        <v>44761</v>
      </c>
      <c r="L301">
        <f t="shared" si="23"/>
        <v>446</v>
      </c>
      <c r="M301">
        <f>IF(Table1[[#This Row],[Alive]]="No",Table1[[#This Row],[daysDeath]],Table1[[#This Row],[daysSince]])</f>
        <v>446</v>
      </c>
      <c r="N301">
        <v>120</v>
      </c>
      <c r="O301">
        <v>7.2</v>
      </c>
      <c r="P301">
        <v>248</v>
      </c>
      <c r="Q301">
        <v>11</v>
      </c>
      <c r="R301">
        <v>4.0999999999999996</v>
      </c>
      <c r="S301">
        <v>64</v>
      </c>
      <c r="T301">
        <v>240</v>
      </c>
      <c r="U301">
        <v>26</v>
      </c>
      <c r="V301">
        <v>13</v>
      </c>
      <c r="W301">
        <v>89.5</v>
      </c>
      <c r="X301" t="s">
        <v>30</v>
      </c>
      <c r="Y301" t="s">
        <v>29</v>
      </c>
      <c r="Z301" t="s">
        <v>29</v>
      </c>
    </row>
    <row r="302" spans="1:26" ht="30" customHeight="1">
      <c r="A302">
        <v>1511715235</v>
      </c>
      <c r="B302">
        <f>COUNTIF(A:A,A302)</f>
        <v>1</v>
      </c>
      <c r="C302" s="1">
        <f t="shared" ca="1" si="21"/>
        <v>26252</v>
      </c>
      <c r="D302" s="1">
        <v>44318</v>
      </c>
      <c r="E302" s="4">
        <f ca="1">DATEDIF(Table1[[#This Row],[DOB]],Table1[[#This Row],[eventDate]],"Y")</f>
        <v>49</v>
      </c>
      <c r="F302" s="4" t="str">
        <f t="shared" si="22"/>
        <v>Man</v>
      </c>
      <c r="G302" s="4">
        <f ca="1">_xlfn.DAYS(TODAY(),Table1[[#This Row],[eventDate]])</f>
        <v>1795</v>
      </c>
      <c r="H302" t="s">
        <v>32</v>
      </c>
      <c r="I302" t="s">
        <v>28</v>
      </c>
      <c r="J302" t="s">
        <v>31</v>
      </c>
      <c r="L302" t="str">
        <f t="shared" si="23"/>
        <v/>
      </c>
      <c r="M302">
        <f ca="1">IF(Table1[[#This Row],[Alive]]="No",Table1[[#This Row],[daysDeath]],Table1[[#This Row],[daysSince]])</f>
        <v>1795</v>
      </c>
      <c r="N302">
        <v>116</v>
      </c>
      <c r="O302">
        <v>7.7</v>
      </c>
      <c r="P302">
        <v>153</v>
      </c>
      <c r="Q302">
        <v>11</v>
      </c>
      <c r="R302">
        <v>8.6</v>
      </c>
      <c r="S302">
        <v>128</v>
      </c>
      <c r="T302">
        <v>90</v>
      </c>
      <c r="U302">
        <v>30</v>
      </c>
      <c r="V302">
        <v>277</v>
      </c>
      <c r="W302">
        <v>98</v>
      </c>
      <c r="X302" t="s">
        <v>33</v>
      </c>
      <c r="Y302" t="s">
        <v>29</v>
      </c>
      <c r="Z302" t="s">
        <v>29</v>
      </c>
    </row>
    <row r="303" spans="1:26" ht="30" customHeight="1">
      <c r="A303">
        <v>2512536408</v>
      </c>
      <c r="B303">
        <f>COUNTIF(A:A,A303)</f>
        <v>1</v>
      </c>
      <c r="C303" s="1">
        <f t="shared" ca="1" si="21"/>
        <v>19718</v>
      </c>
      <c r="D303" s="1">
        <v>44326</v>
      </c>
      <c r="E303" s="4">
        <f ca="1">DATEDIF(Table1[[#This Row],[DOB]],Table1[[#This Row],[eventDate]],"Y")</f>
        <v>67</v>
      </c>
      <c r="F303" s="4" t="str">
        <f t="shared" si="22"/>
        <v>Woman</v>
      </c>
      <c r="G303" s="4">
        <f ca="1">_xlfn.DAYS(TODAY(),Table1[[#This Row],[eventDate]])</f>
        <v>1787</v>
      </c>
      <c r="H303" t="s">
        <v>27</v>
      </c>
      <c r="I303" t="s">
        <v>34</v>
      </c>
      <c r="J303" t="s">
        <v>29</v>
      </c>
      <c r="K303" s="1">
        <v>44333</v>
      </c>
      <c r="L303">
        <f t="shared" si="23"/>
        <v>7</v>
      </c>
      <c r="M303">
        <f>IF(Table1[[#This Row],[Alive]]="No",Table1[[#This Row],[daysDeath]],Table1[[#This Row],[daysSince]])</f>
        <v>7</v>
      </c>
      <c r="N303">
        <v>109</v>
      </c>
      <c r="O303">
        <v>8.6999999999999993</v>
      </c>
      <c r="P303">
        <v>408</v>
      </c>
      <c r="Q303">
        <v>12</v>
      </c>
      <c r="R303">
        <v>4.4000000000000004</v>
      </c>
      <c r="S303">
        <v>59</v>
      </c>
      <c r="T303">
        <v>182</v>
      </c>
      <c r="U303">
        <v>21</v>
      </c>
      <c r="V303">
        <v>14</v>
      </c>
      <c r="W303">
        <v>60</v>
      </c>
      <c r="X303" t="s">
        <v>30</v>
      </c>
      <c r="Y303" t="s">
        <v>31</v>
      </c>
      <c r="Z303" t="s">
        <v>31</v>
      </c>
    </row>
    <row r="304" spans="1:26" ht="30" customHeight="1">
      <c r="A304">
        <v>3011516308</v>
      </c>
      <c r="B304">
        <f>COUNTIF(A:A,A304)</f>
        <v>1</v>
      </c>
      <c r="C304" s="1">
        <f t="shared" ca="1" si="21"/>
        <v>18962</v>
      </c>
      <c r="D304" s="1">
        <v>44329</v>
      </c>
      <c r="E304" s="4">
        <f ca="1">DATEDIF(Table1[[#This Row],[DOB]],Table1[[#This Row],[eventDate]],"Y")</f>
        <v>69</v>
      </c>
      <c r="F304" s="4" t="str">
        <f t="shared" si="22"/>
        <v>Woman</v>
      </c>
      <c r="G304" s="4">
        <f ca="1">_xlfn.DAYS(TODAY(),Table1[[#This Row],[eventDate]])</f>
        <v>1784</v>
      </c>
      <c r="H304" t="s">
        <v>27</v>
      </c>
      <c r="I304" t="s">
        <v>28</v>
      </c>
      <c r="J304" t="s">
        <v>29</v>
      </c>
      <c r="K304" s="1">
        <v>44522</v>
      </c>
      <c r="L304">
        <f t="shared" si="23"/>
        <v>193</v>
      </c>
      <c r="M304">
        <f>IF(Table1[[#This Row],[Alive]]="No",Table1[[#This Row],[daysDeath]],Table1[[#This Row],[daysSince]])</f>
        <v>193</v>
      </c>
      <c r="N304">
        <v>94</v>
      </c>
      <c r="O304">
        <v>14</v>
      </c>
      <c r="P304">
        <v>464</v>
      </c>
      <c r="Q304">
        <v>14</v>
      </c>
      <c r="R304">
        <v>2.4</v>
      </c>
      <c r="S304">
        <v>56</v>
      </c>
      <c r="T304">
        <v>109</v>
      </c>
      <c r="U304">
        <v>12</v>
      </c>
      <c r="V304">
        <v>151</v>
      </c>
      <c r="W304">
        <v>52</v>
      </c>
      <c r="X304" t="s">
        <v>30</v>
      </c>
      <c r="Y304" t="s">
        <v>29</v>
      </c>
      <c r="Z304" t="s">
        <v>29</v>
      </c>
    </row>
    <row r="305" spans="1:26" ht="30" customHeight="1">
      <c r="A305">
        <v>807443204</v>
      </c>
      <c r="B305">
        <f>COUNTIF(A:A,A305)</f>
        <v>1</v>
      </c>
      <c r="C305" s="1">
        <f t="shared" ca="1" si="21"/>
        <v>16261</v>
      </c>
      <c r="D305" s="1">
        <v>44329</v>
      </c>
      <c r="E305" s="4">
        <f ca="1">DATEDIF(Table1[[#This Row],[DOB]],Table1[[#This Row],[eventDate]],"Y")</f>
        <v>76</v>
      </c>
      <c r="F305" s="4" t="str">
        <f t="shared" si="22"/>
        <v>Woman</v>
      </c>
      <c r="G305" s="4">
        <f ca="1">_xlfn.DAYS(TODAY(),Table1[[#This Row],[eventDate]])</f>
        <v>1784</v>
      </c>
      <c r="H305" t="s">
        <v>32</v>
      </c>
      <c r="I305" t="s">
        <v>28</v>
      </c>
      <c r="J305" t="s">
        <v>29</v>
      </c>
      <c r="K305" s="1">
        <v>44442</v>
      </c>
      <c r="L305">
        <f t="shared" si="23"/>
        <v>113</v>
      </c>
      <c r="M305">
        <f>IF(Table1[[#This Row],[Alive]]="No",Table1[[#This Row],[daysDeath]],Table1[[#This Row],[daysSince]])</f>
        <v>113</v>
      </c>
      <c r="N305">
        <v>116</v>
      </c>
      <c r="O305">
        <v>19.100000000000001</v>
      </c>
      <c r="P305">
        <v>324</v>
      </c>
      <c r="Q305">
        <v>10</v>
      </c>
      <c r="R305">
        <v>3</v>
      </c>
      <c r="S305">
        <v>39</v>
      </c>
      <c r="T305">
        <v>46</v>
      </c>
      <c r="U305">
        <v>31</v>
      </c>
      <c r="V305">
        <v>3</v>
      </c>
      <c r="W305">
        <v>43</v>
      </c>
      <c r="X305" t="s">
        <v>30</v>
      </c>
      <c r="Y305" t="s">
        <v>29</v>
      </c>
      <c r="Z305" t="s">
        <v>29</v>
      </c>
    </row>
    <row r="306" spans="1:26" ht="30" customHeight="1">
      <c r="A306">
        <v>2207486400</v>
      </c>
      <c r="B306">
        <f>COUNTIF(A:A,A306)</f>
        <v>1</v>
      </c>
      <c r="C306" s="1">
        <f t="shared" ca="1" si="21"/>
        <v>17736</v>
      </c>
      <c r="D306" s="1">
        <v>44330</v>
      </c>
      <c r="E306" s="4">
        <f ca="1">DATEDIF(Table1[[#This Row],[DOB]],Table1[[#This Row],[eventDate]],"Y")</f>
        <v>72</v>
      </c>
      <c r="F306" s="4" t="str">
        <f t="shared" si="22"/>
        <v>Woman</v>
      </c>
      <c r="G306" s="4">
        <f ca="1">_xlfn.DAYS(TODAY(),Table1[[#This Row],[eventDate]])</f>
        <v>1783</v>
      </c>
      <c r="H306" t="s">
        <v>27</v>
      </c>
      <c r="I306" t="s">
        <v>34</v>
      </c>
      <c r="J306" t="s">
        <v>29</v>
      </c>
      <c r="K306" s="1">
        <v>44723</v>
      </c>
      <c r="L306">
        <f t="shared" si="23"/>
        <v>393</v>
      </c>
      <c r="M306">
        <f>IF(Table1[[#This Row],[Alive]]="No",Table1[[#This Row],[daysDeath]],Table1[[#This Row],[daysSince]])</f>
        <v>393</v>
      </c>
      <c r="N306">
        <v>100</v>
      </c>
      <c r="O306">
        <v>18.2</v>
      </c>
      <c r="P306">
        <v>249</v>
      </c>
      <c r="Q306">
        <v>12</v>
      </c>
      <c r="R306">
        <v>5.3</v>
      </c>
      <c r="S306">
        <v>76</v>
      </c>
      <c r="T306">
        <v>334</v>
      </c>
      <c r="U306">
        <v>17</v>
      </c>
      <c r="V306">
        <v>72</v>
      </c>
      <c r="W306">
        <v>60</v>
      </c>
      <c r="X306" t="s">
        <v>30</v>
      </c>
      <c r="Y306" t="s">
        <v>29</v>
      </c>
      <c r="Z306" t="s">
        <v>29</v>
      </c>
    </row>
    <row r="307" spans="1:26" ht="30" customHeight="1">
      <c r="A307">
        <v>1001456351</v>
      </c>
      <c r="B307">
        <f>COUNTIF(A:A,A307)</f>
        <v>1</v>
      </c>
      <c r="C307" s="1">
        <f t="shared" ca="1" si="21"/>
        <v>16447</v>
      </c>
      <c r="D307" s="1">
        <v>44334</v>
      </c>
      <c r="E307" s="4">
        <f ca="1">DATEDIF(Table1[[#This Row],[DOB]],Table1[[#This Row],[eventDate]],"Y")</f>
        <v>76</v>
      </c>
      <c r="F307" s="4" t="str">
        <f t="shared" si="22"/>
        <v>Man</v>
      </c>
      <c r="G307" s="4">
        <f ca="1">_xlfn.DAYS(TODAY(),Table1[[#This Row],[eventDate]])</f>
        <v>1779</v>
      </c>
      <c r="H307" t="s">
        <v>36</v>
      </c>
      <c r="I307" t="s">
        <v>34</v>
      </c>
      <c r="J307" t="s">
        <v>29</v>
      </c>
      <c r="K307" s="1">
        <v>44346</v>
      </c>
      <c r="L307">
        <f t="shared" si="23"/>
        <v>12</v>
      </c>
      <c r="M307">
        <f>IF(Table1[[#This Row],[Alive]]="No",Table1[[#This Row],[daysDeath]],Table1[[#This Row],[daysSince]])</f>
        <v>12</v>
      </c>
      <c r="N307">
        <v>109</v>
      </c>
      <c r="O307">
        <v>9.6999999999999993</v>
      </c>
      <c r="P307">
        <v>189</v>
      </c>
      <c r="Q307">
        <v>16</v>
      </c>
      <c r="R307">
        <v>5.8</v>
      </c>
      <c r="S307">
        <v>85</v>
      </c>
      <c r="T307">
        <v>217</v>
      </c>
      <c r="U307">
        <v>19</v>
      </c>
      <c r="V307">
        <v>32</v>
      </c>
      <c r="W307">
        <v>78.2</v>
      </c>
      <c r="X307" t="s">
        <v>30</v>
      </c>
      <c r="Y307" t="s">
        <v>29</v>
      </c>
      <c r="Z307" t="s">
        <v>31</v>
      </c>
    </row>
    <row r="308" spans="1:26" ht="30" customHeight="1">
      <c r="A308">
        <v>405710852</v>
      </c>
      <c r="B308">
        <f>COUNTIF(A:A,A308)</f>
        <v>1</v>
      </c>
      <c r="C308" s="1">
        <f t="shared" ref="C308:C342" ca="1" si="24">DATE(
    IF(VALUE(MID(TEXT(A308,"0000000000"),5,2)) &gt; VALUE(TEXT(TODAY(),"YY")),
       1900 + VALUE(MID(TEXT(A308,"0000000000"),5,2)),
       2000 + VALUE(MID(TEXT(A308,"0000000000"),5,2))
    ),
    VALUE(MID(TEXT(A308,"0000000000"),3,2)),
    VALUE(LEFT(TEXT(A308,"0000000000"),2))
)</f>
        <v>26057</v>
      </c>
      <c r="D308" s="1">
        <v>44355</v>
      </c>
      <c r="E308" s="4">
        <f ca="1">DATEDIF(Table1[[#This Row],[DOB]],Table1[[#This Row],[eventDate]],"Y")</f>
        <v>50</v>
      </c>
      <c r="F308" s="4" t="str">
        <f t="shared" ref="F308:F342" si="25">IF(MOD(VALUE(MID(TEXT(A308,"0000000000"),9,1)),2)=0,"Woman","Man")</f>
        <v>Man</v>
      </c>
      <c r="G308" s="4">
        <f ca="1">_xlfn.DAYS(TODAY(),Table1[[#This Row],[eventDate]])</f>
        <v>1758</v>
      </c>
      <c r="H308" t="s">
        <v>27</v>
      </c>
      <c r="I308" t="s">
        <v>28</v>
      </c>
      <c r="J308" t="s">
        <v>29</v>
      </c>
      <c r="K308" s="1">
        <v>44449</v>
      </c>
      <c r="L308">
        <f t="shared" ref="L308:L342" si="26">IF(J308="No",_xlfn.DAYS(K308,D308),"")</f>
        <v>94</v>
      </c>
      <c r="M308">
        <f>IF(Table1[[#This Row],[Alive]]="No",Table1[[#This Row],[daysDeath]],Table1[[#This Row],[daysSince]])</f>
        <v>94</v>
      </c>
      <c r="N308">
        <v>121</v>
      </c>
      <c r="O308">
        <v>7.8</v>
      </c>
      <c r="P308">
        <v>563</v>
      </c>
      <c r="Q308">
        <v>11</v>
      </c>
      <c r="R308">
        <v>3.6</v>
      </c>
      <c r="S308">
        <v>78</v>
      </c>
      <c r="T308">
        <v>41</v>
      </c>
      <c r="U308">
        <v>35</v>
      </c>
      <c r="V308">
        <v>5</v>
      </c>
      <c r="X308" t="s">
        <v>30</v>
      </c>
      <c r="Y308" t="s">
        <v>29</v>
      </c>
      <c r="Z308" t="s">
        <v>29</v>
      </c>
    </row>
    <row r="309" spans="1:26" ht="30" customHeight="1">
      <c r="A309">
        <v>1912635402</v>
      </c>
      <c r="B309">
        <f>COUNTIF(A:A,A309)</f>
        <v>1</v>
      </c>
      <c r="C309" s="1">
        <f t="shared" ca="1" si="24"/>
        <v>23364</v>
      </c>
      <c r="D309" s="1">
        <v>44362</v>
      </c>
      <c r="E309" s="4">
        <f ca="1">DATEDIF(Table1[[#This Row],[DOB]],Table1[[#This Row],[eventDate]],"Y")</f>
        <v>57</v>
      </c>
      <c r="F309" s="4" t="str">
        <f t="shared" si="25"/>
        <v>Woman</v>
      </c>
      <c r="G309" s="4">
        <f ca="1">_xlfn.DAYS(TODAY(),Table1[[#This Row],[eventDate]])</f>
        <v>1751</v>
      </c>
      <c r="H309" t="s">
        <v>32</v>
      </c>
      <c r="I309" t="s">
        <v>28</v>
      </c>
      <c r="J309" t="s">
        <v>29</v>
      </c>
      <c r="K309" s="1">
        <v>44599</v>
      </c>
      <c r="L309">
        <f t="shared" si="26"/>
        <v>237</v>
      </c>
      <c r="M309">
        <f>IF(Table1[[#This Row],[Alive]]="No",Table1[[#This Row],[daysDeath]],Table1[[#This Row],[daysSince]])</f>
        <v>237</v>
      </c>
      <c r="N309">
        <v>107</v>
      </c>
      <c r="O309">
        <v>7.4</v>
      </c>
      <c r="P309">
        <v>393</v>
      </c>
      <c r="Q309">
        <v>10</v>
      </c>
      <c r="R309">
        <v>6.4</v>
      </c>
      <c r="S309">
        <v>88</v>
      </c>
      <c r="T309">
        <v>293</v>
      </c>
      <c r="U309">
        <v>22</v>
      </c>
      <c r="V309">
        <v>20</v>
      </c>
      <c r="X309" t="s">
        <v>30</v>
      </c>
      <c r="Y309" t="s">
        <v>31</v>
      </c>
      <c r="Z309" t="s">
        <v>29</v>
      </c>
    </row>
    <row r="310" spans="1:26" ht="30" customHeight="1">
      <c r="A310">
        <v>2706536012</v>
      </c>
      <c r="B310">
        <f>COUNTIF(A:A,A310)</f>
        <v>1</v>
      </c>
      <c r="C310" s="1">
        <f t="shared" ca="1" si="24"/>
        <v>19537</v>
      </c>
      <c r="D310" s="1">
        <v>44369</v>
      </c>
      <c r="E310" s="4">
        <f ca="1">DATEDIF(Table1[[#This Row],[DOB]],Table1[[#This Row],[eventDate]],"Y")</f>
        <v>67</v>
      </c>
      <c r="F310" s="4" t="str">
        <f t="shared" si="25"/>
        <v>Man</v>
      </c>
      <c r="G310" s="4">
        <f ca="1">_xlfn.DAYS(TODAY(),Table1[[#This Row],[eventDate]])</f>
        <v>1744</v>
      </c>
      <c r="H310" t="s">
        <v>27</v>
      </c>
      <c r="I310" t="s">
        <v>28</v>
      </c>
      <c r="J310" t="s">
        <v>29</v>
      </c>
      <c r="K310" s="1">
        <v>44395</v>
      </c>
      <c r="L310">
        <f t="shared" si="26"/>
        <v>26</v>
      </c>
      <c r="M310">
        <f>IF(Table1[[#This Row],[Alive]]="No",Table1[[#This Row],[daysDeath]],Table1[[#This Row],[daysSince]])</f>
        <v>26</v>
      </c>
      <c r="N310">
        <v>79</v>
      </c>
      <c r="O310">
        <v>14.4</v>
      </c>
      <c r="P310">
        <v>215</v>
      </c>
      <c r="Q310">
        <v>12</v>
      </c>
      <c r="R310">
        <v>21.8</v>
      </c>
      <c r="S310">
        <v>115</v>
      </c>
      <c r="T310">
        <v>199</v>
      </c>
      <c r="U310">
        <v>10</v>
      </c>
      <c r="V310">
        <v>29</v>
      </c>
      <c r="W310">
        <v>106</v>
      </c>
      <c r="X310" t="s">
        <v>33</v>
      </c>
      <c r="Y310" t="s">
        <v>29</v>
      </c>
      <c r="Z310" t="s">
        <v>31</v>
      </c>
    </row>
    <row r="311" spans="1:26" ht="30" customHeight="1">
      <c r="A311">
        <v>210653094</v>
      </c>
      <c r="B311">
        <f>COUNTIF(A:A,A311)</f>
        <v>1</v>
      </c>
      <c r="C311" s="1">
        <f t="shared" ca="1" si="24"/>
        <v>24017</v>
      </c>
      <c r="D311" s="1">
        <v>44364</v>
      </c>
      <c r="E311" s="4">
        <f ca="1">DATEDIF(Table1[[#This Row],[DOB]],Table1[[#This Row],[eventDate]],"Y")</f>
        <v>55</v>
      </c>
      <c r="F311" s="4" t="str">
        <f t="shared" si="25"/>
        <v>Man</v>
      </c>
      <c r="G311" s="4">
        <f ca="1">_xlfn.DAYS(TODAY(),Table1[[#This Row],[eventDate]])</f>
        <v>1749</v>
      </c>
      <c r="H311" t="s">
        <v>27</v>
      </c>
      <c r="I311" t="s">
        <v>34</v>
      </c>
      <c r="J311" t="s">
        <v>29</v>
      </c>
      <c r="K311" s="1">
        <v>44531</v>
      </c>
      <c r="L311">
        <f t="shared" si="26"/>
        <v>167</v>
      </c>
      <c r="M311">
        <f>IF(Table1[[#This Row],[Alive]]="No",Table1[[#This Row],[daysDeath]],Table1[[#This Row],[daysSince]])</f>
        <v>167</v>
      </c>
      <c r="N311">
        <v>125</v>
      </c>
      <c r="O311">
        <v>12.1</v>
      </c>
      <c r="P311">
        <v>314</v>
      </c>
      <c r="Q311">
        <v>11</v>
      </c>
      <c r="R311">
        <v>2.4</v>
      </c>
      <c r="S311">
        <v>63</v>
      </c>
      <c r="T311">
        <v>445</v>
      </c>
      <c r="U311">
        <v>19</v>
      </c>
      <c r="V311">
        <v>85</v>
      </c>
      <c r="X311" t="s">
        <v>30</v>
      </c>
      <c r="Y311" t="s">
        <v>29</v>
      </c>
      <c r="Z311" t="s">
        <v>29</v>
      </c>
    </row>
    <row r="312" spans="1:26" ht="30" customHeight="1">
      <c r="A312">
        <v>705463362</v>
      </c>
      <c r="B312">
        <f>COUNTIF(A:A,A312)</f>
        <v>1</v>
      </c>
      <c r="C312" s="1">
        <f t="shared" ca="1" si="24"/>
        <v>16929</v>
      </c>
      <c r="D312" s="1">
        <v>44376</v>
      </c>
      <c r="E312" s="4">
        <f ca="1">DATEDIF(Table1[[#This Row],[DOB]],Table1[[#This Row],[eventDate]],"Y")</f>
        <v>75</v>
      </c>
      <c r="F312" s="4" t="str">
        <f t="shared" si="25"/>
        <v>Woman</v>
      </c>
      <c r="G312" s="4">
        <f ca="1">_xlfn.DAYS(TODAY(),Table1[[#This Row],[eventDate]])</f>
        <v>1737</v>
      </c>
      <c r="H312" t="s">
        <v>32</v>
      </c>
      <c r="I312" t="s">
        <v>28</v>
      </c>
      <c r="J312" t="s">
        <v>29</v>
      </c>
      <c r="K312" s="1">
        <v>44458</v>
      </c>
      <c r="L312">
        <f t="shared" si="26"/>
        <v>82</v>
      </c>
      <c r="M312">
        <f>IF(Table1[[#This Row],[Alive]]="No",Table1[[#This Row],[daysDeath]],Table1[[#This Row],[daysSince]])</f>
        <v>82</v>
      </c>
      <c r="N312">
        <v>101</v>
      </c>
      <c r="O312">
        <v>14.3</v>
      </c>
      <c r="P312">
        <v>894</v>
      </c>
      <c r="Q312">
        <v>12</v>
      </c>
      <c r="R312">
        <v>3</v>
      </c>
      <c r="S312">
        <v>50</v>
      </c>
      <c r="T312">
        <v>168</v>
      </c>
      <c r="U312">
        <v>17</v>
      </c>
      <c r="V312">
        <v>75</v>
      </c>
      <c r="W312">
        <v>66</v>
      </c>
      <c r="X312" t="s">
        <v>30</v>
      </c>
      <c r="Y312" t="s">
        <v>29</v>
      </c>
      <c r="Z312" t="s">
        <v>29</v>
      </c>
    </row>
    <row r="313" spans="1:26" ht="30" customHeight="1">
      <c r="A313">
        <v>2804483282</v>
      </c>
      <c r="B313">
        <f>COUNTIF(A:A,A313)</f>
        <v>1</v>
      </c>
      <c r="C313" s="1">
        <f t="shared" ca="1" si="24"/>
        <v>17651</v>
      </c>
      <c r="D313" s="1">
        <v>44378</v>
      </c>
      <c r="E313" s="4">
        <f ca="1">DATEDIF(Table1[[#This Row],[DOB]],Table1[[#This Row],[eventDate]],"Y")</f>
        <v>73</v>
      </c>
      <c r="F313" s="4" t="str">
        <f t="shared" si="25"/>
        <v>Woman</v>
      </c>
      <c r="G313" s="4">
        <f ca="1">_xlfn.DAYS(TODAY(),Table1[[#This Row],[eventDate]])</f>
        <v>1735</v>
      </c>
      <c r="H313" t="s">
        <v>32</v>
      </c>
      <c r="I313" t="s">
        <v>34</v>
      </c>
      <c r="J313" t="s">
        <v>29</v>
      </c>
      <c r="K313" s="1">
        <v>44397</v>
      </c>
      <c r="L313">
        <f t="shared" si="26"/>
        <v>19</v>
      </c>
      <c r="M313">
        <f>IF(Table1[[#This Row],[Alive]]="No",Table1[[#This Row],[daysDeath]],Table1[[#This Row],[daysSince]])</f>
        <v>19</v>
      </c>
      <c r="N313">
        <v>115</v>
      </c>
      <c r="O313">
        <v>8.6999999999999993</v>
      </c>
      <c r="P313">
        <v>289</v>
      </c>
      <c r="Q313">
        <v>13</v>
      </c>
      <c r="R313">
        <v>3.1</v>
      </c>
      <c r="S313">
        <v>47</v>
      </c>
      <c r="T313">
        <v>425</v>
      </c>
      <c r="U313">
        <v>22</v>
      </c>
      <c r="V313">
        <v>62</v>
      </c>
      <c r="X313" t="s">
        <v>30</v>
      </c>
      <c r="Y313" t="s">
        <v>31</v>
      </c>
      <c r="Z313" t="s">
        <v>31</v>
      </c>
    </row>
    <row r="314" spans="1:26" ht="30" customHeight="1">
      <c r="A314">
        <v>806433485</v>
      </c>
      <c r="B314">
        <f>COUNTIF(A:A,A314)</f>
        <v>1</v>
      </c>
      <c r="C314" s="1">
        <f t="shared" ca="1" si="24"/>
        <v>15865</v>
      </c>
      <c r="D314" s="1">
        <v>44390</v>
      </c>
      <c r="E314" s="4">
        <f ca="1">DATEDIF(Table1[[#This Row],[DOB]],Table1[[#This Row],[eventDate]],"Y")</f>
        <v>78</v>
      </c>
      <c r="F314" s="4" t="str">
        <f t="shared" si="25"/>
        <v>Woman</v>
      </c>
      <c r="G314" s="4">
        <f ca="1">_xlfn.DAYS(TODAY(),Table1[[#This Row],[eventDate]])</f>
        <v>1723</v>
      </c>
      <c r="H314" t="s">
        <v>40</v>
      </c>
      <c r="I314" t="s">
        <v>34</v>
      </c>
      <c r="J314" t="s">
        <v>29</v>
      </c>
      <c r="K314" s="1">
        <v>44511</v>
      </c>
      <c r="L314">
        <f t="shared" si="26"/>
        <v>121</v>
      </c>
      <c r="M314">
        <f>IF(Table1[[#This Row],[Alive]]="No",Table1[[#This Row],[daysDeath]],Table1[[#This Row],[daysSince]])</f>
        <v>121</v>
      </c>
      <c r="N314">
        <v>134</v>
      </c>
      <c r="O314">
        <v>15.7</v>
      </c>
      <c r="P314">
        <v>426</v>
      </c>
      <c r="Q314">
        <v>11</v>
      </c>
      <c r="R314">
        <v>8.6999999999999993</v>
      </c>
      <c r="S314">
        <v>103</v>
      </c>
      <c r="T314">
        <v>41</v>
      </c>
      <c r="U314">
        <v>33</v>
      </c>
      <c r="V314">
        <v>9</v>
      </c>
      <c r="X314" t="s">
        <v>30</v>
      </c>
      <c r="Y314" t="s">
        <v>29</v>
      </c>
      <c r="Z314" t="s">
        <v>29</v>
      </c>
    </row>
    <row r="315" spans="1:26" ht="30" customHeight="1">
      <c r="A315">
        <v>2611433054</v>
      </c>
      <c r="B315">
        <f>COUNTIF(A:A,A315)</f>
        <v>1</v>
      </c>
      <c r="C315" s="1">
        <f t="shared" ca="1" si="24"/>
        <v>16036</v>
      </c>
      <c r="D315" s="1">
        <v>44399</v>
      </c>
      <c r="E315" s="4">
        <f ca="1">DATEDIF(Table1[[#This Row],[DOB]],Table1[[#This Row],[eventDate]],"Y")</f>
        <v>77</v>
      </c>
      <c r="F315" s="4" t="str">
        <f t="shared" si="25"/>
        <v>Man</v>
      </c>
      <c r="G315" s="4">
        <f ca="1">_xlfn.DAYS(TODAY(),Table1[[#This Row],[eventDate]])</f>
        <v>1714</v>
      </c>
      <c r="H315" t="s">
        <v>32</v>
      </c>
      <c r="I315" t="s">
        <v>28</v>
      </c>
      <c r="J315" t="s">
        <v>29</v>
      </c>
      <c r="K315" s="1">
        <v>44411</v>
      </c>
      <c r="L315">
        <f t="shared" si="26"/>
        <v>12</v>
      </c>
      <c r="M315">
        <f>IF(Table1[[#This Row],[Alive]]="No",Table1[[#This Row],[daysDeath]],Table1[[#This Row],[daysSince]])</f>
        <v>12</v>
      </c>
      <c r="N315">
        <v>115</v>
      </c>
      <c r="O315">
        <v>7.2</v>
      </c>
      <c r="P315">
        <v>240</v>
      </c>
      <c r="Q315">
        <v>11</v>
      </c>
      <c r="R315">
        <v>7.1</v>
      </c>
      <c r="S315">
        <v>90</v>
      </c>
      <c r="T315">
        <v>481</v>
      </c>
      <c r="U315">
        <v>19</v>
      </c>
      <c r="V315">
        <v>18</v>
      </c>
      <c r="X315" t="s">
        <v>30</v>
      </c>
      <c r="Y315" t="s">
        <v>29</v>
      </c>
      <c r="Z315" t="s">
        <v>31</v>
      </c>
    </row>
    <row r="316" spans="1:26" ht="30" customHeight="1">
      <c r="A316">
        <v>2608556345</v>
      </c>
      <c r="B316">
        <f>COUNTIF(A:A,A316)</f>
        <v>1</v>
      </c>
      <c r="C316" s="1">
        <f t="shared" ca="1" si="24"/>
        <v>20327</v>
      </c>
      <c r="D316" s="1">
        <v>44403</v>
      </c>
      <c r="E316" s="4">
        <f ca="1">DATEDIF(Table1[[#This Row],[DOB]],Table1[[#This Row],[eventDate]],"Y")</f>
        <v>65</v>
      </c>
      <c r="F316" s="4" t="str">
        <f t="shared" si="25"/>
        <v>Woman</v>
      </c>
      <c r="G316" s="4">
        <f ca="1">_xlfn.DAYS(TODAY(),Table1[[#This Row],[eventDate]])</f>
        <v>1710</v>
      </c>
      <c r="H316" t="s">
        <v>32</v>
      </c>
      <c r="I316" t="s">
        <v>34</v>
      </c>
      <c r="J316" t="s">
        <v>29</v>
      </c>
      <c r="K316" s="1">
        <v>44921</v>
      </c>
      <c r="L316">
        <f t="shared" si="26"/>
        <v>518</v>
      </c>
      <c r="M316">
        <f>IF(Table1[[#This Row],[Alive]]="No",Table1[[#This Row],[daysDeath]],Table1[[#This Row],[daysSince]])</f>
        <v>518</v>
      </c>
      <c r="N316">
        <v>121</v>
      </c>
      <c r="O316">
        <v>7</v>
      </c>
      <c r="P316">
        <v>181</v>
      </c>
      <c r="Q316">
        <v>12</v>
      </c>
      <c r="R316">
        <v>3.2</v>
      </c>
      <c r="S316">
        <v>71</v>
      </c>
      <c r="T316">
        <v>305</v>
      </c>
      <c r="U316">
        <v>18</v>
      </c>
      <c r="V316">
        <v>14</v>
      </c>
      <c r="X316" t="s">
        <v>30</v>
      </c>
      <c r="Y316" t="s">
        <v>29</v>
      </c>
      <c r="Z316" t="s">
        <v>29</v>
      </c>
    </row>
    <row r="317" spans="1:26" ht="30" customHeight="1">
      <c r="A317">
        <v>2202806016</v>
      </c>
      <c r="B317">
        <f>COUNTIF(A:A,A317)</f>
        <v>1</v>
      </c>
      <c r="C317" s="1">
        <f t="shared" ca="1" si="24"/>
        <v>29273</v>
      </c>
      <c r="D317" s="1">
        <v>44425</v>
      </c>
      <c r="E317" s="4">
        <f ca="1">DATEDIF(Table1[[#This Row],[DOB]],Table1[[#This Row],[eventDate]],"Y")</f>
        <v>41</v>
      </c>
      <c r="F317" s="4" t="str">
        <f t="shared" si="25"/>
        <v>Man</v>
      </c>
      <c r="G317" s="4">
        <f ca="1">_xlfn.DAYS(TODAY(),Table1[[#This Row],[eventDate]])</f>
        <v>1688</v>
      </c>
      <c r="H317" t="s">
        <v>36</v>
      </c>
      <c r="I317" t="s">
        <v>28</v>
      </c>
      <c r="J317" t="s">
        <v>29</v>
      </c>
      <c r="K317" s="1">
        <v>44434</v>
      </c>
      <c r="L317">
        <f t="shared" si="26"/>
        <v>9</v>
      </c>
      <c r="M317">
        <f>IF(Table1[[#This Row],[Alive]]="No",Table1[[#This Row],[daysDeath]],Table1[[#This Row],[daysSince]])</f>
        <v>9</v>
      </c>
      <c r="N317">
        <v>137</v>
      </c>
      <c r="O317">
        <v>19.3</v>
      </c>
      <c r="P317">
        <v>190</v>
      </c>
      <c r="Q317">
        <v>15</v>
      </c>
      <c r="R317">
        <v>9.9</v>
      </c>
      <c r="S317">
        <v>55</v>
      </c>
      <c r="T317">
        <v>596</v>
      </c>
      <c r="U317">
        <v>26</v>
      </c>
      <c r="V317">
        <v>101</v>
      </c>
      <c r="X317" t="s">
        <v>30</v>
      </c>
      <c r="Y317" t="s">
        <v>29</v>
      </c>
      <c r="Z317" t="s">
        <v>31</v>
      </c>
    </row>
    <row r="318" spans="1:26" ht="30" customHeight="1">
      <c r="A318">
        <v>1810583624</v>
      </c>
      <c r="B318">
        <f>COUNTIF(A:A,A318)</f>
        <v>1</v>
      </c>
      <c r="C318" s="1">
        <f t="shared" ca="1" si="24"/>
        <v>21476</v>
      </c>
      <c r="D318" s="1">
        <v>44446</v>
      </c>
      <c r="E318" s="4">
        <f ca="1">DATEDIF(Table1[[#This Row],[DOB]],Table1[[#This Row],[eventDate]],"Y")</f>
        <v>62</v>
      </c>
      <c r="F318" s="4" t="str">
        <f t="shared" si="25"/>
        <v>Woman</v>
      </c>
      <c r="G318" s="4">
        <f ca="1">_xlfn.DAYS(TODAY(),Table1[[#This Row],[eventDate]])</f>
        <v>1667</v>
      </c>
      <c r="H318" t="s">
        <v>32</v>
      </c>
      <c r="I318" t="s">
        <v>28</v>
      </c>
      <c r="J318" t="s">
        <v>29</v>
      </c>
      <c r="K318" s="1">
        <v>44523</v>
      </c>
      <c r="L318">
        <f t="shared" si="26"/>
        <v>77</v>
      </c>
      <c r="M318">
        <f>IF(Table1[[#This Row],[Alive]]="No",Table1[[#This Row],[daysDeath]],Table1[[#This Row],[daysSince]])</f>
        <v>77</v>
      </c>
      <c r="N318">
        <v>106</v>
      </c>
      <c r="O318">
        <v>10.8</v>
      </c>
      <c r="P318">
        <v>314</v>
      </c>
      <c r="Q318">
        <v>12</v>
      </c>
      <c r="R318">
        <v>3</v>
      </c>
      <c r="S318">
        <v>33</v>
      </c>
      <c r="T318">
        <v>320</v>
      </c>
      <c r="U318">
        <v>19</v>
      </c>
      <c r="V318">
        <v>15</v>
      </c>
      <c r="W318">
        <v>70.7</v>
      </c>
      <c r="X318" t="s">
        <v>30</v>
      </c>
      <c r="Y318" t="s">
        <v>29</v>
      </c>
      <c r="Z318" t="s">
        <v>29</v>
      </c>
    </row>
    <row r="319" spans="1:26" ht="30" customHeight="1">
      <c r="A319">
        <v>2609476000</v>
      </c>
      <c r="B319">
        <f>COUNTIF(A:A,A319)</f>
        <v>1</v>
      </c>
      <c r="C319" s="1">
        <f t="shared" ca="1" si="24"/>
        <v>17436</v>
      </c>
      <c r="D319" s="1">
        <v>44455</v>
      </c>
      <c r="E319" s="4">
        <f ca="1">DATEDIF(Table1[[#This Row],[DOB]],Table1[[#This Row],[eventDate]],"Y")</f>
        <v>73</v>
      </c>
      <c r="F319" s="4" t="str">
        <f t="shared" si="25"/>
        <v>Woman</v>
      </c>
      <c r="G319" s="4">
        <f ca="1">_xlfn.DAYS(TODAY(),Table1[[#This Row],[eventDate]])</f>
        <v>1658</v>
      </c>
      <c r="H319" t="s">
        <v>32</v>
      </c>
      <c r="I319" t="s">
        <v>28</v>
      </c>
      <c r="J319" t="s">
        <v>29</v>
      </c>
      <c r="K319" s="1">
        <v>44934</v>
      </c>
      <c r="L319">
        <f t="shared" si="26"/>
        <v>479</v>
      </c>
      <c r="M319">
        <f>IF(Table1[[#This Row],[Alive]]="No",Table1[[#This Row],[daysDeath]],Table1[[#This Row],[daysSince]])</f>
        <v>479</v>
      </c>
      <c r="N319">
        <v>122</v>
      </c>
      <c r="O319">
        <v>8.6</v>
      </c>
      <c r="P319">
        <v>494</v>
      </c>
      <c r="Q319">
        <v>11</v>
      </c>
      <c r="R319">
        <v>3.5</v>
      </c>
      <c r="S319">
        <v>48</v>
      </c>
      <c r="T319">
        <v>413</v>
      </c>
      <c r="U319">
        <v>22</v>
      </c>
      <c r="V319">
        <v>10</v>
      </c>
      <c r="W319">
        <v>50</v>
      </c>
      <c r="X319" t="s">
        <v>30</v>
      </c>
      <c r="Y319" t="s">
        <v>31</v>
      </c>
      <c r="Z319" t="s">
        <v>29</v>
      </c>
    </row>
    <row r="320" spans="1:26" ht="30" customHeight="1">
      <c r="A320">
        <v>1707525358</v>
      </c>
      <c r="B320">
        <f>COUNTIF(A:A,A320)</f>
        <v>1</v>
      </c>
      <c r="C320" s="1">
        <f t="shared" ca="1" si="24"/>
        <v>19192</v>
      </c>
      <c r="D320" s="1">
        <v>44467</v>
      </c>
      <c r="E320" s="4">
        <f ca="1">DATEDIF(Table1[[#This Row],[DOB]],Table1[[#This Row],[eventDate]],"Y")</f>
        <v>69</v>
      </c>
      <c r="F320" s="4" t="str">
        <f t="shared" si="25"/>
        <v>Man</v>
      </c>
      <c r="G320" s="4">
        <f ca="1">_xlfn.DAYS(TODAY(),Table1[[#This Row],[eventDate]])</f>
        <v>1646</v>
      </c>
      <c r="H320" t="s">
        <v>27</v>
      </c>
      <c r="I320" t="s">
        <v>28</v>
      </c>
      <c r="J320" t="s">
        <v>29</v>
      </c>
      <c r="K320" s="1">
        <v>44953</v>
      </c>
      <c r="L320">
        <f t="shared" si="26"/>
        <v>486</v>
      </c>
      <c r="M320">
        <f>IF(Table1[[#This Row],[Alive]]="No",Table1[[#This Row],[daysDeath]],Table1[[#This Row],[daysSince]])</f>
        <v>486</v>
      </c>
      <c r="N320">
        <v>91</v>
      </c>
      <c r="O320">
        <v>8.8000000000000007</v>
      </c>
      <c r="P320">
        <v>471</v>
      </c>
      <c r="Q320">
        <v>11</v>
      </c>
      <c r="R320">
        <v>5.3</v>
      </c>
      <c r="S320">
        <v>81</v>
      </c>
      <c r="T320">
        <v>341</v>
      </c>
      <c r="U320">
        <v>21</v>
      </c>
      <c r="V320">
        <v>19</v>
      </c>
      <c r="W320">
        <v>57.3</v>
      </c>
      <c r="X320" t="s">
        <v>30</v>
      </c>
      <c r="Y320" t="s">
        <v>31</v>
      </c>
      <c r="Z320" t="s">
        <v>29</v>
      </c>
    </row>
    <row r="321" spans="1:27" ht="30" customHeight="1">
      <c r="A321">
        <v>901446017</v>
      </c>
      <c r="B321">
        <f>COUNTIF(A:A,A321)</f>
        <v>1</v>
      </c>
      <c r="C321" s="1">
        <f t="shared" ca="1" si="24"/>
        <v>16080</v>
      </c>
      <c r="D321" s="1">
        <v>44467</v>
      </c>
      <c r="E321" s="4">
        <f ca="1">DATEDIF(Table1[[#This Row],[DOB]],Table1[[#This Row],[eventDate]],"Y")</f>
        <v>77</v>
      </c>
      <c r="F321" s="4" t="str">
        <f t="shared" si="25"/>
        <v>Man</v>
      </c>
      <c r="G321" s="4">
        <f ca="1">_xlfn.DAYS(TODAY(),Table1[[#This Row],[eventDate]])</f>
        <v>1646</v>
      </c>
      <c r="H321" t="s">
        <v>27</v>
      </c>
      <c r="I321" t="s">
        <v>28</v>
      </c>
      <c r="J321" t="s">
        <v>29</v>
      </c>
      <c r="K321" s="1">
        <v>45662</v>
      </c>
      <c r="L321">
        <f t="shared" si="26"/>
        <v>1195</v>
      </c>
      <c r="M321">
        <f>IF(Table1[[#This Row],[Alive]]="No",Table1[[#This Row],[daysDeath]],Table1[[#This Row],[daysSince]])</f>
        <v>1195</v>
      </c>
      <c r="N321">
        <v>134</v>
      </c>
      <c r="O321">
        <v>19.399999999999999</v>
      </c>
      <c r="P321">
        <v>120</v>
      </c>
      <c r="Q321">
        <v>16</v>
      </c>
      <c r="R321">
        <v>5.5</v>
      </c>
      <c r="S321">
        <v>46</v>
      </c>
      <c r="T321">
        <v>58</v>
      </c>
      <c r="U321">
        <v>25</v>
      </c>
      <c r="V321">
        <v>268</v>
      </c>
      <c r="W321">
        <v>70</v>
      </c>
      <c r="X321" t="s">
        <v>33</v>
      </c>
      <c r="Y321" t="s">
        <v>29</v>
      </c>
      <c r="Z321" t="s">
        <v>29</v>
      </c>
    </row>
    <row r="322" spans="1:27" ht="30" customHeight="1">
      <c r="A322">
        <v>1806575256</v>
      </c>
      <c r="B322">
        <f>COUNTIF(A:A,A322)</f>
        <v>1</v>
      </c>
      <c r="C322" s="1">
        <f t="shared" ca="1" si="24"/>
        <v>20989</v>
      </c>
      <c r="D322" s="1">
        <v>44483</v>
      </c>
      <c r="E322" s="4">
        <f ca="1">DATEDIF(Table1[[#This Row],[DOB]],Table1[[#This Row],[eventDate]],"Y")</f>
        <v>64</v>
      </c>
      <c r="F322" s="4" t="str">
        <f t="shared" si="25"/>
        <v>Man</v>
      </c>
      <c r="G322" s="4">
        <f ca="1">_xlfn.DAYS(TODAY(),Table1[[#This Row],[eventDate]])</f>
        <v>1630</v>
      </c>
      <c r="H322" t="s">
        <v>36</v>
      </c>
      <c r="I322" t="s">
        <v>34</v>
      </c>
      <c r="J322" t="s">
        <v>29</v>
      </c>
      <c r="K322" s="1">
        <v>44756</v>
      </c>
      <c r="L322">
        <f t="shared" si="26"/>
        <v>273</v>
      </c>
      <c r="M322">
        <f>IF(Table1[[#This Row],[Alive]]="No",Table1[[#This Row],[daysDeath]],Table1[[#This Row],[daysSince]])</f>
        <v>273</v>
      </c>
      <c r="N322">
        <v>120</v>
      </c>
      <c r="O322">
        <v>5.5</v>
      </c>
      <c r="P322">
        <v>329</v>
      </c>
      <c r="Q322">
        <v>11</v>
      </c>
      <c r="R322">
        <v>2.8</v>
      </c>
      <c r="S322">
        <v>48</v>
      </c>
      <c r="T322">
        <v>240</v>
      </c>
      <c r="U322">
        <v>33</v>
      </c>
      <c r="V322">
        <v>8</v>
      </c>
      <c r="W322">
        <v>65</v>
      </c>
      <c r="X322" t="s">
        <v>30</v>
      </c>
      <c r="Y322" t="s">
        <v>31</v>
      </c>
      <c r="Z322" t="s">
        <v>29</v>
      </c>
    </row>
    <row r="323" spans="1:27" ht="30" customHeight="1">
      <c r="A323">
        <v>1906520542</v>
      </c>
      <c r="B323">
        <f>COUNTIF(A:A,A323)</f>
        <v>1</v>
      </c>
      <c r="C323" s="1">
        <f t="shared" ca="1" si="24"/>
        <v>19164</v>
      </c>
      <c r="D323" s="1">
        <v>44488</v>
      </c>
      <c r="E323" s="4">
        <f ca="1">DATEDIF(Table1[[#This Row],[DOB]],Table1[[#This Row],[eventDate]],"Y")</f>
        <v>69</v>
      </c>
      <c r="F323" s="4" t="str">
        <f t="shared" si="25"/>
        <v>Woman</v>
      </c>
      <c r="G323" s="4">
        <f ca="1">_xlfn.DAYS(TODAY(),Table1[[#This Row],[eventDate]])</f>
        <v>1625</v>
      </c>
      <c r="H323" t="s">
        <v>27</v>
      </c>
      <c r="I323" t="s">
        <v>28</v>
      </c>
      <c r="J323" t="s">
        <v>29</v>
      </c>
      <c r="K323" s="1">
        <v>44509</v>
      </c>
      <c r="L323">
        <f t="shared" si="26"/>
        <v>21</v>
      </c>
      <c r="M323">
        <f>IF(Table1[[#This Row],[Alive]]="No",Table1[[#This Row],[daysDeath]],Table1[[#This Row],[daysSince]])</f>
        <v>21</v>
      </c>
      <c r="N323">
        <v>98</v>
      </c>
      <c r="O323">
        <v>12.3</v>
      </c>
      <c r="P323">
        <v>371</v>
      </c>
      <c r="Q323">
        <v>12</v>
      </c>
      <c r="R323">
        <v>6.4</v>
      </c>
      <c r="S323">
        <v>78</v>
      </c>
      <c r="T323">
        <v>415</v>
      </c>
      <c r="U323">
        <v>17</v>
      </c>
      <c r="V323">
        <v>126</v>
      </c>
      <c r="W323">
        <v>83</v>
      </c>
      <c r="X323" t="s">
        <v>30</v>
      </c>
      <c r="Y323" t="s">
        <v>31</v>
      </c>
      <c r="Z323" t="s">
        <v>29</v>
      </c>
    </row>
    <row r="324" spans="1:27" ht="30" customHeight="1">
      <c r="A324">
        <v>405776438</v>
      </c>
      <c r="B324">
        <f>COUNTIF(A:A,A324)</f>
        <v>1</v>
      </c>
      <c r="C324" s="1">
        <f t="shared" ca="1" si="24"/>
        <v>28249</v>
      </c>
      <c r="D324" s="1">
        <v>44494</v>
      </c>
      <c r="E324" s="4">
        <f ca="1">DATEDIF(Table1[[#This Row],[DOB]],Table1[[#This Row],[eventDate]],"Y")</f>
        <v>44</v>
      </c>
      <c r="F324" s="4" t="str">
        <f t="shared" si="25"/>
        <v>Man</v>
      </c>
      <c r="G324" s="4">
        <f ca="1">_xlfn.DAYS(TODAY(),Table1[[#This Row],[eventDate]])</f>
        <v>1619</v>
      </c>
      <c r="H324" t="s">
        <v>27</v>
      </c>
      <c r="I324" t="s">
        <v>34</v>
      </c>
      <c r="J324" t="s">
        <v>29</v>
      </c>
      <c r="K324" s="1">
        <v>44528</v>
      </c>
      <c r="L324">
        <f t="shared" si="26"/>
        <v>34</v>
      </c>
      <c r="M324">
        <f>IF(Table1[[#This Row],[Alive]]="No",Table1[[#This Row],[daysDeath]],Table1[[#This Row],[daysSince]])</f>
        <v>34</v>
      </c>
      <c r="N324">
        <v>125</v>
      </c>
      <c r="O324">
        <v>9.6999999999999993</v>
      </c>
      <c r="P324">
        <v>298</v>
      </c>
      <c r="Q324">
        <v>13</v>
      </c>
      <c r="R324">
        <v>2.9</v>
      </c>
      <c r="S324">
        <v>53</v>
      </c>
      <c r="T324">
        <v>469</v>
      </c>
      <c r="U324">
        <v>22</v>
      </c>
      <c r="V324">
        <v>61</v>
      </c>
      <c r="W324">
        <v>96</v>
      </c>
      <c r="X324" t="s">
        <v>30</v>
      </c>
      <c r="Y324" t="s">
        <v>29</v>
      </c>
      <c r="Z324" t="s">
        <v>29</v>
      </c>
    </row>
    <row r="325" spans="1:27" ht="30" customHeight="1">
      <c r="A325">
        <v>1805656333</v>
      </c>
      <c r="B325">
        <f>COUNTIF(A:A,A325)</f>
        <v>1</v>
      </c>
      <c r="C325" s="1">
        <f t="shared" ca="1" si="24"/>
        <v>23880</v>
      </c>
      <c r="D325" s="1">
        <v>44497</v>
      </c>
      <c r="E325" s="4">
        <f ca="1">DATEDIF(Table1[[#This Row],[DOB]],Table1[[#This Row],[eventDate]],"Y")</f>
        <v>56</v>
      </c>
      <c r="F325" s="4" t="str">
        <f t="shared" si="25"/>
        <v>Man</v>
      </c>
      <c r="G325" s="4">
        <f ca="1">_xlfn.DAYS(TODAY(),Table1[[#This Row],[eventDate]])</f>
        <v>1616</v>
      </c>
      <c r="H325" t="s">
        <v>37</v>
      </c>
      <c r="I325" t="s">
        <v>34</v>
      </c>
      <c r="J325" t="s">
        <v>29</v>
      </c>
      <c r="K325" s="1">
        <v>44515</v>
      </c>
      <c r="L325">
        <f t="shared" si="26"/>
        <v>18</v>
      </c>
      <c r="M325">
        <f>IF(Table1[[#This Row],[Alive]]="No",Table1[[#This Row],[daysDeath]],Table1[[#This Row],[daysSince]])</f>
        <v>18</v>
      </c>
      <c r="N325">
        <v>92</v>
      </c>
      <c r="O325">
        <v>15.7</v>
      </c>
      <c r="P325">
        <v>32</v>
      </c>
      <c r="Q325">
        <v>16</v>
      </c>
      <c r="R325">
        <v>16.399999999999999</v>
      </c>
      <c r="S325">
        <v>77</v>
      </c>
      <c r="T325">
        <v>495</v>
      </c>
      <c r="U325">
        <v>18</v>
      </c>
      <c r="V325">
        <v>158</v>
      </c>
      <c r="X325" t="s">
        <v>33</v>
      </c>
      <c r="Y325" t="s">
        <v>29</v>
      </c>
      <c r="Z325" t="s">
        <v>31</v>
      </c>
    </row>
    <row r="326" spans="1:27" ht="30" customHeight="1">
      <c r="A326">
        <v>2711443086</v>
      </c>
      <c r="B326">
        <f>COUNTIF(A:A,A326)</f>
        <v>1</v>
      </c>
      <c r="C326" s="1">
        <f t="shared" ca="1" si="24"/>
        <v>16403</v>
      </c>
      <c r="D326" s="1">
        <v>44525</v>
      </c>
      <c r="E326" s="4">
        <f ca="1">DATEDIF(Table1[[#This Row],[DOB]],Table1[[#This Row],[eventDate]],"Y")</f>
        <v>76</v>
      </c>
      <c r="F326" s="4" t="str">
        <f t="shared" si="25"/>
        <v>Woman</v>
      </c>
      <c r="G326" s="4">
        <f ca="1">_xlfn.DAYS(TODAY(),Table1[[#This Row],[eventDate]])</f>
        <v>1588</v>
      </c>
      <c r="H326" t="s">
        <v>27</v>
      </c>
      <c r="I326" t="s">
        <v>34</v>
      </c>
      <c r="J326" t="s">
        <v>29</v>
      </c>
      <c r="K326" s="1">
        <v>44774</v>
      </c>
      <c r="L326">
        <f t="shared" si="26"/>
        <v>249</v>
      </c>
      <c r="M326">
        <f>IF(Table1[[#This Row],[Alive]]="No",Table1[[#This Row],[daysDeath]],Table1[[#This Row],[daysSince]])</f>
        <v>249</v>
      </c>
      <c r="N326">
        <v>113</v>
      </c>
      <c r="O326">
        <v>8.6999999999999993</v>
      </c>
      <c r="P326">
        <v>371</v>
      </c>
      <c r="Q326">
        <v>14</v>
      </c>
      <c r="R326">
        <v>6.9</v>
      </c>
      <c r="S326">
        <v>46</v>
      </c>
      <c r="T326">
        <v>450</v>
      </c>
      <c r="U326">
        <v>25</v>
      </c>
      <c r="V326">
        <v>24</v>
      </c>
      <c r="W326">
        <v>62</v>
      </c>
      <c r="X326" t="s">
        <v>30</v>
      </c>
      <c r="Y326" t="s">
        <v>29</v>
      </c>
      <c r="Z326" t="s">
        <v>29</v>
      </c>
    </row>
    <row r="327" spans="1:27" ht="30" customHeight="1">
      <c r="A327">
        <v>2601603070</v>
      </c>
      <c r="B327">
        <f>COUNTIF(A:A,A327)</f>
        <v>1</v>
      </c>
      <c r="C327" s="1">
        <f t="shared" ca="1" si="24"/>
        <v>21941</v>
      </c>
      <c r="D327" s="1">
        <v>44525</v>
      </c>
      <c r="E327" s="4">
        <f ca="1">DATEDIF(Table1[[#This Row],[DOB]],Table1[[#This Row],[eventDate]],"Y")</f>
        <v>61</v>
      </c>
      <c r="F327" s="4" t="str">
        <f t="shared" si="25"/>
        <v>Man</v>
      </c>
      <c r="G327" s="4">
        <f ca="1">_xlfn.DAYS(TODAY(),Table1[[#This Row],[eventDate]])</f>
        <v>1588</v>
      </c>
      <c r="H327" t="s">
        <v>32</v>
      </c>
      <c r="I327" t="s">
        <v>28</v>
      </c>
      <c r="J327" t="s">
        <v>29</v>
      </c>
      <c r="K327" s="1">
        <v>45362</v>
      </c>
      <c r="L327">
        <f t="shared" si="26"/>
        <v>837</v>
      </c>
      <c r="M327">
        <f>IF(Table1[[#This Row],[Alive]]="No",Table1[[#This Row],[daysDeath]],Table1[[#This Row],[daysSince]])</f>
        <v>837</v>
      </c>
      <c r="N327">
        <v>114</v>
      </c>
      <c r="O327">
        <v>14.1</v>
      </c>
      <c r="P327">
        <v>213</v>
      </c>
      <c r="Q327">
        <v>15</v>
      </c>
      <c r="R327">
        <v>6.3</v>
      </c>
      <c r="S327">
        <v>91</v>
      </c>
      <c r="T327">
        <v>67</v>
      </c>
      <c r="U327">
        <v>227</v>
      </c>
      <c r="V327">
        <v>134</v>
      </c>
      <c r="W327">
        <v>95.9</v>
      </c>
      <c r="X327" t="s">
        <v>33</v>
      </c>
      <c r="Y327" t="s">
        <v>29</v>
      </c>
      <c r="Z327" t="s">
        <v>29</v>
      </c>
      <c r="AA327" t="s">
        <v>46</v>
      </c>
    </row>
    <row r="328" spans="1:27" ht="30" customHeight="1">
      <c r="A328">
        <v>901506184</v>
      </c>
      <c r="B328">
        <f>COUNTIF(A:A,A328)</f>
        <v>1</v>
      </c>
      <c r="C328" s="1">
        <f t="shared" ca="1" si="24"/>
        <v>18272</v>
      </c>
      <c r="D328" s="1">
        <v>44547</v>
      </c>
      <c r="E328" s="4">
        <f ca="1">DATEDIF(Table1[[#This Row],[DOB]],Table1[[#This Row],[eventDate]],"Y")</f>
        <v>71</v>
      </c>
      <c r="F328" s="4" t="str">
        <f t="shared" si="25"/>
        <v>Woman</v>
      </c>
      <c r="G328" s="4">
        <f ca="1">_xlfn.DAYS(TODAY(),Table1[[#This Row],[eventDate]])</f>
        <v>1566</v>
      </c>
      <c r="H328" t="s">
        <v>27</v>
      </c>
      <c r="I328" t="s">
        <v>34</v>
      </c>
      <c r="J328" t="s">
        <v>29</v>
      </c>
      <c r="K328" s="1">
        <v>44717</v>
      </c>
      <c r="L328">
        <f t="shared" si="26"/>
        <v>170</v>
      </c>
      <c r="M328">
        <f>IF(Table1[[#This Row],[Alive]]="No",Table1[[#This Row],[daysDeath]],Table1[[#This Row],[daysSince]])</f>
        <v>170</v>
      </c>
      <c r="N328">
        <v>132</v>
      </c>
      <c r="O328">
        <v>12.4</v>
      </c>
      <c r="P328">
        <v>407</v>
      </c>
      <c r="Q328">
        <v>14</v>
      </c>
      <c r="R328">
        <v>6.6</v>
      </c>
      <c r="S328">
        <v>42</v>
      </c>
      <c r="T328">
        <v>416</v>
      </c>
      <c r="U328">
        <v>25</v>
      </c>
      <c r="V328">
        <v>6</v>
      </c>
      <c r="X328" t="s">
        <v>30</v>
      </c>
      <c r="Y328" t="s">
        <v>29</v>
      </c>
      <c r="Z328" t="s">
        <v>29</v>
      </c>
    </row>
    <row r="329" spans="1:27" ht="30" customHeight="1">
      <c r="A329">
        <v>1501716204</v>
      </c>
      <c r="B329">
        <f>COUNTIF(A:A,A329)</f>
        <v>1</v>
      </c>
      <c r="C329" s="1">
        <f t="shared" ca="1" si="24"/>
        <v>25948</v>
      </c>
      <c r="D329" s="1">
        <v>44551</v>
      </c>
      <c r="E329" s="4">
        <f ca="1">DATEDIF(Table1[[#This Row],[DOB]],Table1[[#This Row],[eventDate]],"Y")</f>
        <v>50</v>
      </c>
      <c r="F329" s="4" t="str">
        <f t="shared" si="25"/>
        <v>Woman</v>
      </c>
      <c r="G329" s="4">
        <f ca="1">_xlfn.DAYS(TODAY(),Table1[[#This Row],[eventDate]])</f>
        <v>1562</v>
      </c>
      <c r="H329" t="s">
        <v>27</v>
      </c>
      <c r="I329" t="s">
        <v>34</v>
      </c>
      <c r="J329" t="s">
        <v>29</v>
      </c>
      <c r="K329" s="1">
        <v>44577</v>
      </c>
      <c r="L329">
        <f t="shared" si="26"/>
        <v>26</v>
      </c>
      <c r="M329">
        <f>IF(Table1[[#This Row],[Alive]]="No",Table1[[#This Row],[daysDeath]],Table1[[#This Row],[daysSince]])</f>
        <v>26</v>
      </c>
      <c r="N329">
        <v>123</v>
      </c>
      <c r="O329">
        <v>10</v>
      </c>
      <c r="P329">
        <v>279</v>
      </c>
      <c r="Q329">
        <v>11</v>
      </c>
      <c r="R329">
        <v>5.2</v>
      </c>
      <c r="S329">
        <v>69</v>
      </c>
      <c r="T329">
        <v>412</v>
      </c>
      <c r="U329">
        <v>23</v>
      </c>
      <c r="V329">
        <v>9</v>
      </c>
      <c r="W329">
        <v>50</v>
      </c>
      <c r="X329" t="s">
        <v>30</v>
      </c>
      <c r="Y329" t="s">
        <v>29</v>
      </c>
      <c r="Z329" t="s">
        <v>29</v>
      </c>
    </row>
    <row r="330" spans="1:27" ht="30" customHeight="1">
      <c r="A330">
        <v>1505286328</v>
      </c>
      <c r="B330">
        <f>COUNTIF(A:A,A330)</f>
        <v>1</v>
      </c>
      <c r="C330" s="1">
        <f t="shared" ca="1" si="24"/>
        <v>10363</v>
      </c>
      <c r="D330" s="1">
        <v>44553</v>
      </c>
      <c r="E330" s="4">
        <f ca="1">DATEDIF(Table1[[#This Row],[DOB]],Table1[[#This Row],[eventDate]],"Y")</f>
        <v>93</v>
      </c>
      <c r="F330" s="4" t="str">
        <f t="shared" si="25"/>
        <v>Woman</v>
      </c>
      <c r="G330" s="4">
        <f ca="1">_xlfn.DAYS(TODAY(),Table1[[#This Row],[eventDate]])</f>
        <v>1560</v>
      </c>
      <c r="H330" t="s">
        <v>32</v>
      </c>
      <c r="I330" t="s">
        <v>34</v>
      </c>
      <c r="J330" t="s">
        <v>29</v>
      </c>
      <c r="K330" s="1">
        <v>44565</v>
      </c>
      <c r="L330">
        <f t="shared" si="26"/>
        <v>12</v>
      </c>
      <c r="M330">
        <f>IF(Table1[[#This Row],[Alive]]="No",Table1[[#This Row],[daysDeath]],Table1[[#This Row],[daysSince]])</f>
        <v>12</v>
      </c>
      <c r="N330">
        <v>105</v>
      </c>
      <c r="O330">
        <v>9.6</v>
      </c>
      <c r="P330">
        <v>291</v>
      </c>
      <c r="Q330">
        <v>13</v>
      </c>
      <c r="R330">
        <v>5.5</v>
      </c>
      <c r="S330">
        <v>64</v>
      </c>
      <c r="T330">
        <v>607</v>
      </c>
      <c r="U330">
        <v>15</v>
      </c>
      <c r="V330">
        <v>34</v>
      </c>
      <c r="X330" t="s">
        <v>33</v>
      </c>
      <c r="Y330" t="s">
        <v>31</v>
      </c>
      <c r="Z330" t="s">
        <v>31</v>
      </c>
    </row>
    <row r="331" spans="1:27" ht="30" customHeight="1">
      <c r="A331">
        <v>2508536229</v>
      </c>
      <c r="B331">
        <f>COUNTIF(A:A,A331)</f>
        <v>1</v>
      </c>
      <c r="C331" s="1">
        <f t="shared" ca="1" si="24"/>
        <v>19596</v>
      </c>
      <c r="D331" s="1">
        <v>44559</v>
      </c>
      <c r="E331" s="4">
        <f ca="1">DATEDIF(Table1[[#This Row],[DOB]],Table1[[#This Row],[eventDate]],"Y")</f>
        <v>68</v>
      </c>
      <c r="F331" s="4" t="str">
        <f t="shared" si="25"/>
        <v>Woman</v>
      </c>
      <c r="G331" s="4">
        <f ca="1">_xlfn.DAYS(TODAY(),Table1[[#This Row],[eventDate]])</f>
        <v>1554</v>
      </c>
      <c r="H331" t="s">
        <v>27</v>
      </c>
      <c r="I331" t="s">
        <v>34</v>
      </c>
      <c r="J331" t="s">
        <v>29</v>
      </c>
      <c r="K331" s="1">
        <v>44594</v>
      </c>
      <c r="L331">
        <f t="shared" si="26"/>
        <v>35</v>
      </c>
      <c r="M331">
        <f>IF(Table1[[#This Row],[Alive]]="No",Table1[[#This Row],[daysDeath]],Table1[[#This Row],[daysSince]])</f>
        <v>35</v>
      </c>
      <c r="N331">
        <v>87</v>
      </c>
      <c r="O331">
        <v>9.6999999999999993</v>
      </c>
      <c r="P331">
        <v>466</v>
      </c>
      <c r="Q331">
        <v>11</v>
      </c>
      <c r="R331">
        <v>3.9</v>
      </c>
      <c r="S331">
        <v>51</v>
      </c>
      <c r="T331">
        <v>271</v>
      </c>
      <c r="U331">
        <v>18</v>
      </c>
      <c r="V331">
        <v>27</v>
      </c>
      <c r="W331">
        <v>49.5</v>
      </c>
      <c r="X331" t="s">
        <v>30</v>
      </c>
      <c r="Y331" t="s">
        <v>29</v>
      </c>
      <c r="Z331" t="s">
        <v>29</v>
      </c>
    </row>
    <row r="332" spans="1:27" ht="30" customHeight="1">
      <c r="A332">
        <v>1103493051</v>
      </c>
      <c r="B332">
        <f>COUNTIF(A:A,A332)</f>
        <v>1</v>
      </c>
      <c r="C332" s="1">
        <f t="shared" ca="1" si="24"/>
        <v>17968</v>
      </c>
      <c r="D332" s="1">
        <v>44567</v>
      </c>
      <c r="E332" s="4">
        <f ca="1">DATEDIF(Table1[[#This Row],[DOB]],Table1[[#This Row],[eventDate]],"Y")</f>
        <v>72</v>
      </c>
      <c r="F332" s="4" t="str">
        <f t="shared" si="25"/>
        <v>Man</v>
      </c>
      <c r="G332" s="4">
        <f ca="1">_xlfn.DAYS(TODAY(),Table1[[#This Row],[eventDate]])</f>
        <v>1546</v>
      </c>
      <c r="H332" t="s">
        <v>27</v>
      </c>
      <c r="I332" t="s">
        <v>34</v>
      </c>
      <c r="J332" t="s">
        <v>29</v>
      </c>
      <c r="K332" s="1">
        <v>45094</v>
      </c>
      <c r="L332">
        <f t="shared" si="26"/>
        <v>527</v>
      </c>
      <c r="M332">
        <f>IF(Table1[[#This Row],[Alive]]="No",Table1[[#This Row],[daysDeath]],Table1[[#This Row],[daysSince]])</f>
        <v>527</v>
      </c>
      <c r="N332">
        <v>133</v>
      </c>
      <c r="O332">
        <v>16.3</v>
      </c>
      <c r="P332">
        <v>258</v>
      </c>
      <c r="Q332">
        <v>14</v>
      </c>
      <c r="R332">
        <v>3.6</v>
      </c>
      <c r="S332">
        <v>64</v>
      </c>
      <c r="T332">
        <v>528</v>
      </c>
      <c r="U332">
        <v>18</v>
      </c>
      <c r="V332">
        <v>111</v>
      </c>
      <c r="X332" t="s">
        <v>30</v>
      </c>
      <c r="Y332" t="s">
        <v>29</v>
      </c>
      <c r="Z332" t="s">
        <v>29</v>
      </c>
    </row>
    <row r="333" spans="1:27" ht="30" customHeight="1">
      <c r="A333">
        <v>1507523416</v>
      </c>
      <c r="B333">
        <f>COUNTIF(A:A,A333)</f>
        <v>1</v>
      </c>
      <c r="C333" s="1">
        <f t="shared" ca="1" si="24"/>
        <v>19190</v>
      </c>
      <c r="D333" s="1">
        <v>44568</v>
      </c>
      <c r="E333" s="4">
        <f ca="1">DATEDIF(Table1[[#This Row],[DOB]],Table1[[#This Row],[eventDate]],"Y")</f>
        <v>69</v>
      </c>
      <c r="F333" s="4" t="str">
        <f t="shared" si="25"/>
        <v>Man</v>
      </c>
      <c r="G333" s="4">
        <f ca="1">_xlfn.DAYS(TODAY(),Table1[[#This Row],[eventDate]])</f>
        <v>1545</v>
      </c>
      <c r="H333" t="s">
        <v>27</v>
      </c>
      <c r="I333" t="s">
        <v>28</v>
      </c>
      <c r="J333" t="s">
        <v>29</v>
      </c>
      <c r="K333" s="1">
        <v>44689</v>
      </c>
      <c r="L333">
        <f t="shared" si="26"/>
        <v>121</v>
      </c>
      <c r="M333">
        <f>IF(Table1[[#This Row],[Alive]]="No",Table1[[#This Row],[daysDeath]],Table1[[#This Row],[daysSince]])</f>
        <v>121</v>
      </c>
      <c r="N333">
        <v>126</v>
      </c>
      <c r="O333">
        <v>8.6999999999999993</v>
      </c>
      <c r="P333">
        <v>359</v>
      </c>
      <c r="Q333">
        <v>12</v>
      </c>
      <c r="R333">
        <v>2.2999999999999998</v>
      </c>
      <c r="S333">
        <v>58</v>
      </c>
      <c r="T333">
        <v>506</v>
      </c>
      <c r="U333">
        <v>18</v>
      </c>
      <c r="V333">
        <v>32</v>
      </c>
      <c r="X333" t="s">
        <v>30</v>
      </c>
      <c r="Y333" t="s">
        <v>29</v>
      </c>
      <c r="Z333" t="s">
        <v>29</v>
      </c>
    </row>
    <row r="334" spans="1:27" ht="30" customHeight="1">
      <c r="A334">
        <v>2306633096</v>
      </c>
      <c r="B334">
        <f>COUNTIF(A:A,A334)</f>
        <v>1</v>
      </c>
      <c r="C334" s="1">
        <f t="shared" ca="1" si="24"/>
        <v>23185</v>
      </c>
      <c r="D334" s="1">
        <v>44582</v>
      </c>
      <c r="E334" s="4">
        <f ca="1">DATEDIF(Table1[[#This Row],[DOB]],Table1[[#This Row],[eventDate]],"Y")</f>
        <v>58</v>
      </c>
      <c r="F334" s="4" t="str">
        <f t="shared" si="25"/>
        <v>Man</v>
      </c>
      <c r="G334" s="4">
        <f ca="1">_xlfn.DAYS(TODAY(),Table1[[#This Row],[eventDate]])</f>
        <v>1531</v>
      </c>
      <c r="H334" t="s">
        <v>27</v>
      </c>
      <c r="I334" t="s">
        <v>34</v>
      </c>
      <c r="J334" t="s">
        <v>29</v>
      </c>
      <c r="K334" s="1">
        <v>44629</v>
      </c>
      <c r="L334">
        <f t="shared" si="26"/>
        <v>47</v>
      </c>
      <c r="M334">
        <f>IF(Table1[[#This Row],[Alive]]="No",Table1[[#This Row],[daysDeath]],Table1[[#This Row],[daysSince]])</f>
        <v>47</v>
      </c>
      <c r="N334">
        <v>126</v>
      </c>
      <c r="O334">
        <v>7.3</v>
      </c>
      <c r="P334">
        <v>262</v>
      </c>
      <c r="Q334">
        <v>14</v>
      </c>
      <c r="R334">
        <v>4.3</v>
      </c>
      <c r="S334">
        <v>77</v>
      </c>
      <c r="T334">
        <v>527</v>
      </c>
      <c r="U334">
        <v>19</v>
      </c>
      <c r="V334">
        <v>27</v>
      </c>
      <c r="W334">
        <v>75</v>
      </c>
      <c r="X334" t="s">
        <v>30</v>
      </c>
      <c r="Y334" t="s">
        <v>29</v>
      </c>
      <c r="Z334" t="s">
        <v>29</v>
      </c>
    </row>
    <row r="335" spans="1:27" ht="30" customHeight="1">
      <c r="A335">
        <v>106661256</v>
      </c>
      <c r="B335">
        <f>COUNTIF(A:A,A335)</f>
        <v>1</v>
      </c>
      <c r="C335" s="1">
        <f t="shared" ca="1" si="24"/>
        <v>24259</v>
      </c>
      <c r="D335" s="1">
        <v>44588</v>
      </c>
      <c r="E335" s="4">
        <f ca="1">DATEDIF(Table1[[#This Row],[DOB]],Table1[[#This Row],[eventDate]],"Y")</f>
        <v>55</v>
      </c>
      <c r="F335" s="4" t="str">
        <f t="shared" si="25"/>
        <v>Man</v>
      </c>
      <c r="G335" s="4">
        <f ca="1">_xlfn.DAYS(TODAY(),Table1[[#This Row],[eventDate]])</f>
        <v>1525</v>
      </c>
      <c r="H335" t="s">
        <v>27</v>
      </c>
      <c r="I335" t="s">
        <v>28</v>
      </c>
      <c r="J335" t="s">
        <v>29</v>
      </c>
      <c r="K335" s="1">
        <v>44691</v>
      </c>
      <c r="L335">
        <f t="shared" si="26"/>
        <v>103</v>
      </c>
      <c r="M335">
        <f>IF(Table1[[#This Row],[Alive]]="No",Table1[[#This Row],[daysDeath]],Table1[[#This Row],[daysSince]])</f>
        <v>103</v>
      </c>
      <c r="N335">
        <v>90</v>
      </c>
      <c r="O335">
        <v>10.8</v>
      </c>
      <c r="P335">
        <v>281</v>
      </c>
      <c r="Q335">
        <v>12</v>
      </c>
      <c r="R335">
        <v>6.2</v>
      </c>
      <c r="S335">
        <v>62</v>
      </c>
      <c r="T335">
        <v>185</v>
      </c>
      <c r="U335">
        <v>14</v>
      </c>
      <c r="V335">
        <v>87</v>
      </c>
      <c r="W335">
        <v>7.27</v>
      </c>
      <c r="X335" t="s">
        <v>33</v>
      </c>
      <c r="Y335" t="s">
        <v>31</v>
      </c>
      <c r="Z335" t="s">
        <v>29</v>
      </c>
    </row>
    <row r="336" spans="1:27" ht="30" customHeight="1">
      <c r="A336">
        <v>2201623198</v>
      </c>
      <c r="B336">
        <f>COUNTIF(A:A,A336)</f>
        <v>1</v>
      </c>
      <c r="C336" s="1">
        <f t="shared" ca="1" si="24"/>
        <v>22668</v>
      </c>
      <c r="D336" s="1">
        <v>44588</v>
      </c>
      <c r="E336" s="4">
        <f ca="1">DATEDIF(Table1[[#This Row],[DOB]],Table1[[#This Row],[eventDate]],"Y")</f>
        <v>60</v>
      </c>
      <c r="F336" s="4" t="str">
        <f t="shared" si="25"/>
        <v>Man</v>
      </c>
      <c r="G336" s="4">
        <f ca="1">_xlfn.DAYS(TODAY(),Table1[[#This Row],[eventDate]])</f>
        <v>1525</v>
      </c>
      <c r="H336" t="s">
        <v>32</v>
      </c>
      <c r="I336" t="s">
        <v>28</v>
      </c>
      <c r="J336" t="s">
        <v>29</v>
      </c>
      <c r="K336" s="1">
        <v>44665</v>
      </c>
      <c r="L336">
        <f t="shared" si="26"/>
        <v>77</v>
      </c>
      <c r="M336">
        <f>IF(Table1[[#This Row],[Alive]]="No",Table1[[#This Row],[daysDeath]],Table1[[#This Row],[daysSince]])</f>
        <v>77</v>
      </c>
      <c r="N336">
        <v>114</v>
      </c>
      <c r="O336">
        <v>4.4000000000000004</v>
      </c>
      <c r="P336">
        <v>223</v>
      </c>
      <c r="Q336">
        <v>14</v>
      </c>
      <c r="R336">
        <v>2.9</v>
      </c>
      <c r="S336">
        <v>53</v>
      </c>
      <c r="T336">
        <v>252</v>
      </c>
      <c r="U336">
        <v>25</v>
      </c>
      <c r="V336">
        <v>41</v>
      </c>
      <c r="W336">
        <v>79</v>
      </c>
      <c r="X336" t="s">
        <v>30</v>
      </c>
      <c r="Y336" t="s">
        <v>29</v>
      </c>
      <c r="Z336" t="s">
        <v>29</v>
      </c>
    </row>
    <row r="337" spans="1:26" ht="30" customHeight="1">
      <c r="A337">
        <v>910536260</v>
      </c>
      <c r="B337">
        <f>COUNTIF(A:A,A337)</f>
        <v>1</v>
      </c>
      <c r="C337" s="1">
        <f t="shared" ca="1" si="24"/>
        <v>19641</v>
      </c>
      <c r="D337" s="1">
        <v>44597</v>
      </c>
      <c r="E337" s="4">
        <f ca="1">DATEDIF(Table1[[#This Row],[DOB]],Table1[[#This Row],[eventDate]],"Y")</f>
        <v>68</v>
      </c>
      <c r="F337" s="4" t="str">
        <f t="shared" si="25"/>
        <v>Woman</v>
      </c>
      <c r="G337" s="4">
        <f ca="1">_xlfn.DAYS(TODAY(),Table1[[#This Row],[eventDate]])</f>
        <v>1516</v>
      </c>
      <c r="H337" t="s">
        <v>32</v>
      </c>
      <c r="I337" t="s">
        <v>34</v>
      </c>
      <c r="J337" t="s">
        <v>29</v>
      </c>
      <c r="K337" s="1">
        <v>44604</v>
      </c>
      <c r="L337">
        <f t="shared" si="26"/>
        <v>7</v>
      </c>
      <c r="M337">
        <f>IF(Table1[[#This Row],[Alive]]="No",Table1[[#This Row],[daysDeath]],Table1[[#This Row],[daysSince]])</f>
        <v>7</v>
      </c>
      <c r="N337">
        <v>115</v>
      </c>
      <c r="O337">
        <v>15.7</v>
      </c>
      <c r="P337">
        <v>239</v>
      </c>
      <c r="Q337">
        <v>16</v>
      </c>
      <c r="R337">
        <v>6.6</v>
      </c>
      <c r="S337">
        <v>86</v>
      </c>
      <c r="T337">
        <v>287</v>
      </c>
      <c r="U337">
        <v>23</v>
      </c>
      <c r="V337">
        <v>200</v>
      </c>
      <c r="W337">
        <v>104</v>
      </c>
      <c r="X337" t="s">
        <v>30</v>
      </c>
      <c r="Y337" t="s">
        <v>29</v>
      </c>
      <c r="Z337" t="s">
        <v>31</v>
      </c>
    </row>
    <row r="338" spans="1:26" ht="30" customHeight="1">
      <c r="A338">
        <v>1305805267</v>
      </c>
      <c r="B338">
        <f>COUNTIF(A:A,A338)</f>
        <v>1</v>
      </c>
      <c r="C338" s="1">
        <f t="shared" ca="1" si="24"/>
        <v>29354</v>
      </c>
      <c r="D338" s="1">
        <v>44600</v>
      </c>
      <c r="E338" s="4">
        <f ca="1">DATEDIF(Table1[[#This Row],[DOB]],Table1[[#This Row],[eventDate]],"Y")</f>
        <v>41</v>
      </c>
      <c r="F338" s="4" t="str">
        <f t="shared" si="25"/>
        <v>Woman</v>
      </c>
      <c r="G338" s="4">
        <f ca="1">_xlfn.DAYS(TODAY(),Table1[[#This Row],[eventDate]])</f>
        <v>1513</v>
      </c>
      <c r="H338" t="s">
        <v>32</v>
      </c>
      <c r="I338" t="s">
        <v>28</v>
      </c>
      <c r="J338" t="s">
        <v>29</v>
      </c>
      <c r="K338" s="1">
        <v>44975</v>
      </c>
      <c r="L338">
        <f t="shared" si="26"/>
        <v>375</v>
      </c>
      <c r="M338">
        <f>IF(Table1[[#This Row],[Alive]]="No",Table1[[#This Row],[daysDeath]],Table1[[#This Row],[daysSince]])</f>
        <v>375</v>
      </c>
      <c r="N338">
        <v>96</v>
      </c>
      <c r="O338">
        <v>9.6999999999999993</v>
      </c>
      <c r="P338">
        <v>366</v>
      </c>
      <c r="Q338">
        <v>10</v>
      </c>
      <c r="R338">
        <v>1.5</v>
      </c>
      <c r="S338">
        <v>48</v>
      </c>
      <c r="T338">
        <v>93</v>
      </c>
      <c r="U338">
        <v>30</v>
      </c>
      <c r="V338">
        <v>48</v>
      </c>
      <c r="W338">
        <v>69.900000000000006</v>
      </c>
      <c r="X338" t="s">
        <v>30</v>
      </c>
      <c r="Y338" t="s">
        <v>29</v>
      </c>
      <c r="Z338" t="s">
        <v>29</v>
      </c>
    </row>
    <row r="339" spans="1:26" ht="30" customHeight="1">
      <c r="A339">
        <v>404695701</v>
      </c>
      <c r="B339">
        <f>COUNTIF(A:A,A339)</f>
        <v>1</v>
      </c>
      <c r="C339" s="1">
        <f t="shared" ca="1" si="24"/>
        <v>25297</v>
      </c>
      <c r="D339" s="1">
        <v>44604</v>
      </c>
      <c r="E339" s="4">
        <f ca="1">DATEDIF(Table1[[#This Row],[DOB]],Table1[[#This Row],[eventDate]],"Y")</f>
        <v>52</v>
      </c>
      <c r="F339" s="4" t="str">
        <f t="shared" si="25"/>
        <v>Woman</v>
      </c>
      <c r="G339" s="4">
        <f ca="1">_xlfn.DAYS(TODAY(),Table1[[#This Row],[eventDate]])</f>
        <v>1509</v>
      </c>
      <c r="H339" t="s">
        <v>32</v>
      </c>
      <c r="I339" t="s">
        <v>34</v>
      </c>
      <c r="J339" t="s">
        <v>29</v>
      </c>
      <c r="K339" s="1">
        <v>44651</v>
      </c>
      <c r="L339">
        <f t="shared" si="26"/>
        <v>47</v>
      </c>
      <c r="M339">
        <f>IF(Table1[[#This Row],[Alive]]="No",Table1[[#This Row],[daysDeath]],Table1[[#This Row],[daysSince]])</f>
        <v>47</v>
      </c>
      <c r="N339">
        <v>88</v>
      </c>
      <c r="O339">
        <v>17.100000000000001</v>
      </c>
      <c r="P339">
        <v>211</v>
      </c>
      <c r="Q339">
        <v>13</v>
      </c>
      <c r="R339">
        <v>2.9</v>
      </c>
      <c r="S339">
        <v>34</v>
      </c>
      <c r="T339">
        <v>264</v>
      </c>
      <c r="U339">
        <v>22</v>
      </c>
      <c r="V339">
        <v>79</v>
      </c>
      <c r="X339" t="s">
        <v>30</v>
      </c>
      <c r="Y339" t="s">
        <v>31</v>
      </c>
      <c r="Z339" t="s">
        <v>29</v>
      </c>
    </row>
    <row r="340" spans="1:26" ht="30" customHeight="1">
      <c r="A340">
        <v>709626495</v>
      </c>
      <c r="B340">
        <f>COUNTIF(A:A,A340)</f>
        <v>1</v>
      </c>
      <c r="C340" s="1">
        <f t="shared" ca="1" si="24"/>
        <v>22896</v>
      </c>
      <c r="D340" s="1">
        <v>44609</v>
      </c>
      <c r="E340" s="4">
        <f ca="1">DATEDIF(Table1[[#This Row],[DOB]],Table1[[#This Row],[eventDate]],"Y")</f>
        <v>59</v>
      </c>
      <c r="F340" s="4" t="str">
        <f t="shared" si="25"/>
        <v>Man</v>
      </c>
      <c r="G340" s="4">
        <f ca="1">_xlfn.DAYS(TODAY(),Table1[[#This Row],[eventDate]])</f>
        <v>1504</v>
      </c>
      <c r="H340" t="s">
        <v>32</v>
      </c>
      <c r="I340" t="s">
        <v>28</v>
      </c>
      <c r="J340" t="s">
        <v>29</v>
      </c>
      <c r="K340" s="1">
        <v>44661</v>
      </c>
      <c r="L340">
        <f t="shared" si="26"/>
        <v>52</v>
      </c>
      <c r="M340">
        <f>IF(Table1[[#This Row],[Alive]]="No",Table1[[#This Row],[daysDeath]],Table1[[#This Row],[daysSince]])</f>
        <v>52</v>
      </c>
      <c r="N340">
        <v>124</v>
      </c>
      <c r="O340">
        <v>10.3</v>
      </c>
      <c r="P340">
        <v>350</v>
      </c>
      <c r="Q340">
        <v>11</v>
      </c>
      <c r="R340">
        <v>2.2000000000000002</v>
      </c>
      <c r="S340">
        <v>80</v>
      </c>
      <c r="T340">
        <v>242</v>
      </c>
      <c r="U340">
        <v>17</v>
      </c>
      <c r="V340">
        <v>93</v>
      </c>
      <c r="W340">
        <v>99</v>
      </c>
      <c r="X340" t="s">
        <v>30</v>
      </c>
      <c r="Y340" t="s">
        <v>31</v>
      </c>
      <c r="Z340" t="s">
        <v>29</v>
      </c>
    </row>
    <row r="341" spans="1:26" ht="30" customHeight="1">
      <c r="A341">
        <v>2404425315</v>
      </c>
      <c r="B341">
        <f>COUNTIF(A:A,A341)</f>
        <v>1</v>
      </c>
      <c r="C341" s="1">
        <f t="shared" ca="1" si="24"/>
        <v>15455</v>
      </c>
      <c r="D341" s="1">
        <v>44614</v>
      </c>
      <c r="E341" s="4">
        <f ca="1">DATEDIF(Table1[[#This Row],[DOB]],Table1[[#This Row],[eventDate]],"Y")</f>
        <v>79</v>
      </c>
      <c r="F341" s="4" t="str">
        <f t="shared" si="25"/>
        <v>Man</v>
      </c>
      <c r="G341" s="4">
        <f ca="1">_xlfn.DAYS(TODAY(),Table1[[#This Row],[eventDate]])</f>
        <v>1499</v>
      </c>
      <c r="H341" t="s">
        <v>32</v>
      </c>
      <c r="I341" t="s">
        <v>34</v>
      </c>
      <c r="J341" t="s">
        <v>29</v>
      </c>
      <c r="K341" s="1">
        <v>44827</v>
      </c>
      <c r="L341">
        <f t="shared" si="26"/>
        <v>213</v>
      </c>
      <c r="M341">
        <f>IF(Table1[[#This Row],[Alive]]="No",Table1[[#This Row],[daysDeath]],Table1[[#This Row],[daysSince]])</f>
        <v>213</v>
      </c>
      <c r="N341">
        <v>123</v>
      </c>
      <c r="O341">
        <v>7.1</v>
      </c>
      <c r="P341">
        <v>164</v>
      </c>
      <c r="Q341">
        <v>12</v>
      </c>
      <c r="R341">
        <v>4.5999999999999996</v>
      </c>
      <c r="S341">
        <v>94</v>
      </c>
      <c r="T341">
        <v>543</v>
      </c>
      <c r="U341">
        <v>25</v>
      </c>
      <c r="V341">
        <v>76</v>
      </c>
      <c r="W341">
        <v>50</v>
      </c>
      <c r="X341" t="s">
        <v>30</v>
      </c>
      <c r="Y341" t="s">
        <v>31</v>
      </c>
      <c r="Z341" t="s">
        <v>29</v>
      </c>
    </row>
    <row r="342" spans="1:26" ht="30" customHeight="1">
      <c r="A342">
        <v>509371353</v>
      </c>
      <c r="B342">
        <f>COUNTIF(A:A,A342)</f>
        <v>1</v>
      </c>
      <c r="C342" s="1">
        <f t="shared" ca="1" si="24"/>
        <v>13763</v>
      </c>
      <c r="D342" s="1">
        <v>44616</v>
      </c>
      <c r="E342" s="4">
        <f ca="1">DATEDIF(Table1[[#This Row],[DOB]],Table1[[#This Row],[eventDate]],"Y")</f>
        <v>84</v>
      </c>
      <c r="F342" s="4" t="str">
        <f t="shared" si="25"/>
        <v>Man</v>
      </c>
      <c r="G342" s="4">
        <f ca="1">_xlfn.DAYS(TODAY(),Table1[[#This Row],[eventDate]])</f>
        <v>1497</v>
      </c>
      <c r="H342" t="s">
        <v>32</v>
      </c>
      <c r="I342" t="s">
        <v>34</v>
      </c>
      <c r="J342" t="s">
        <v>29</v>
      </c>
      <c r="K342" s="1">
        <v>44667</v>
      </c>
      <c r="L342">
        <f t="shared" si="26"/>
        <v>51</v>
      </c>
      <c r="M342">
        <f>IF(Table1[[#This Row],[Alive]]="No",Table1[[#This Row],[daysDeath]],Table1[[#This Row],[daysSince]])</f>
        <v>51</v>
      </c>
      <c r="N342">
        <v>94</v>
      </c>
      <c r="O342">
        <v>12.9</v>
      </c>
      <c r="P342">
        <v>380</v>
      </c>
      <c r="Q342">
        <v>13</v>
      </c>
      <c r="R342">
        <v>15.4</v>
      </c>
      <c r="S342">
        <v>151</v>
      </c>
      <c r="T342">
        <v>474</v>
      </c>
      <c r="U342">
        <v>19</v>
      </c>
      <c r="V342">
        <v>42</v>
      </c>
      <c r="W342">
        <v>68</v>
      </c>
      <c r="X342" t="s">
        <v>30</v>
      </c>
      <c r="Y342" t="s">
        <v>29</v>
      </c>
      <c r="Z342" t="s">
        <v>29</v>
      </c>
    </row>
    <row r="343" spans="1:26" ht="30" customHeight="1">
      <c r="A343">
        <v>1410685381</v>
      </c>
      <c r="B343">
        <f>COUNTIF(A:A,A343)</f>
        <v>1</v>
      </c>
      <c r="C343" s="1">
        <f t="shared" ref="C343:C375" ca="1" si="27">DATE(
    IF(VALUE(MID(TEXT(A343,"0000000000"),5,2)) &gt; VALUE(TEXT(TODAY(),"YY")),
       1900 + VALUE(MID(TEXT(A343,"0000000000"),5,2)),
       2000 + VALUE(MID(TEXT(A343,"0000000000"),5,2))
    ),
    VALUE(MID(TEXT(A343,"0000000000"),3,2)),
    VALUE(LEFT(TEXT(A343,"0000000000"),2))
)</f>
        <v>25125</v>
      </c>
      <c r="D343" s="1">
        <v>44631</v>
      </c>
      <c r="E343" s="4">
        <f ca="1">DATEDIF(Table1[[#This Row],[DOB]],Table1[[#This Row],[eventDate]],"Y")</f>
        <v>53</v>
      </c>
      <c r="F343" s="4" t="str">
        <f t="shared" ref="F343:F375" si="28">IF(MOD(VALUE(MID(TEXT(A343,"0000000000"),9,1)),2)=0,"Woman","Man")</f>
        <v>Woman</v>
      </c>
      <c r="G343" s="4">
        <f ca="1">_xlfn.DAYS(TODAY(),Table1[[#This Row],[eventDate]])</f>
        <v>1482</v>
      </c>
      <c r="H343" t="s">
        <v>27</v>
      </c>
      <c r="I343" t="s">
        <v>28</v>
      </c>
      <c r="J343" t="s">
        <v>31</v>
      </c>
      <c r="L343" t="str">
        <f t="shared" ref="L343:L375" si="29">IF(J343="No",_xlfn.DAYS(K343,D343),"")</f>
        <v/>
      </c>
      <c r="M343">
        <f ca="1">IF(Table1[[#This Row],[Alive]]="No",Table1[[#This Row],[daysDeath]],Table1[[#This Row],[daysSince]])</f>
        <v>1482</v>
      </c>
      <c r="N343">
        <v>93</v>
      </c>
      <c r="O343">
        <v>27.8</v>
      </c>
      <c r="P343">
        <v>433</v>
      </c>
      <c r="Q343">
        <v>12</v>
      </c>
      <c r="R343">
        <v>5.8</v>
      </c>
      <c r="S343">
        <v>65</v>
      </c>
      <c r="T343">
        <v>212</v>
      </c>
      <c r="U343">
        <v>15</v>
      </c>
      <c r="V343">
        <v>171</v>
      </c>
      <c r="W343">
        <v>55.7</v>
      </c>
      <c r="X343" t="s">
        <v>33</v>
      </c>
      <c r="Y343" t="s">
        <v>29</v>
      </c>
      <c r="Z343" t="s">
        <v>29</v>
      </c>
    </row>
    <row r="344" spans="1:26" ht="30" customHeight="1">
      <c r="A344">
        <v>2001535554</v>
      </c>
      <c r="B344">
        <f>COUNTIF(A:A,A344)</f>
        <v>1</v>
      </c>
      <c r="C344" s="1">
        <f t="shared" ca="1" si="27"/>
        <v>19379</v>
      </c>
      <c r="D344" s="1">
        <v>44635</v>
      </c>
      <c r="E344" s="4">
        <f ca="1">DATEDIF(Table1[[#This Row],[DOB]],Table1[[#This Row],[eventDate]],"Y")</f>
        <v>69</v>
      </c>
      <c r="F344" s="4" t="str">
        <f t="shared" si="28"/>
        <v>Man</v>
      </c>
      <c r="G344" s="4">
        <f ca="1">_xlfn.DAYS(TODAY(),Table1[[#This Row],[eventDate]])</f>
        <v>1478</v>
      </c>
      <c r="H344" t="s">
        <v>32</v>
      </c>
      <c r="I344" t="s">
        <v>28</v>
      </c>
      <c r="J344" t="s">
        <v>29</v>
      </c>
      <c r="K344" s="1">
        <v>44665</v>
      </c>
      <c r="L344">
        <f t="shared" si="29"/>
        <v>30</v>
      </c>
      <c r="M344">
        <f>IF(Table1[[#This Row],[Alive]]="No",Table1[[#This Row],[daysDeath]],Table1[[#This Row],[daysSince]])</f>
        <v>30</v>
      </c>
      <c r="N344">
        <v>116</v>
      </c>
      <c r="O344">
        <v>21.3</v>
      </c>
      <c r="P344">
        <v>287</v>
      </c>
      <c r="Q344">
        <v>13</v>
      </c>
      <c r="R344">
        <v>6.3</v>
      </c>
      <c r="S344">
        <v>43</v>
      </c>
      <c r="T344">
        <v>538</v>
      </c>
      <c r="U344">
        <v>19</v>
      </c>
      <c r="V344">
        <v>47</v>
      </c>
      <c r="X344" t="s">
        <v>30</v>
      </c>
      <c r="Y344" t="s">
        <v>31</v>
      </c>
      <c r="Z344" t="s">
        <v>47</v>
      </c>
    </row>
    <row r="345" spans="1:26" ht="30" customHeight="1">
      <c r="A345">
        <v>1906523223</v>
      </c>
      <c r="B345">
        <f>COUNTIF(A:A,A345)</f>
        <v>1</v>
      </c>
      <c r="C345" s="1">
        <f t="shared" ca="1" si="27"/>
        <v>19164</v>
      </c>
      <c r="D345" s="1">
        <v>44644</v>
      </c>
      <c r="E345" s="4">
        <f ca="1">DATEDIF(Table1[[#This Row],[DOB]],Table1[[#This Row],[eventDate]],"Y")</f>
        <v>69</v>
      </c>
      <c r="F345" s="4" t="str">
        <f t="shared" si="28"/>
        <v>Woman</v>
      </c>
      <c r="G345" s="4">
        <f ca="1">_xlfn.DAYS(TODAY(),Table1[[#This Row],[eventDate]])</f>
        <v>1469</v>
      </c>
      <c r="H345" t="s">
        <v>32</v>
      </c>
      <c r="I345" t="s">
        <v>28</v>
      </c>
      <c r="J345" t="s">
        <v>29</v>
      </c>
      <c r="K345" s="1">
        <v>45727</v>
      </c>
      <c r="L345">
        <f t="shared" si="29"/>
        <v>1083</v>
      </c>
      <c r="M345">
        <f>IF(Table1[[#This Row],[Alive]]="No",Table1[[#This Row],[daysDeath]],Table1[[#This Row],[daysSince]])</f>
        <v>1083</v>
      </c>
      <c r="N345">
        <v>89</v>
      </c>
      <c r="O345">
        <v>10.8</v>
      </c>
      <c r="P345">
        <v>339</v>
      </c>
      <c r="Q345">
        <v>13</v>
      </c>
      <c r="R345">
        <v>10.6</v>
      </c>
      <c r="S345">
        <v>152</v>
      </c>
      <c r="T345">
        <v>109</v>
      </c>
      <c r="U345">
        <v>24</v>
      </c>
      <c r="V345">
        <v>223</v>
      </c>
      <c r="W345">
        <v>58</v>
      </c>
      <c r="X345" t="s">
        <v>30</v>
      </c>
      <c r="Y345" t="s">
        <v>31</v>
      </c>
      <c r="Z345" t="s">
        <v>29</v>
      </c>
    </row>
    <row r="346" spans="1:26" ht="30" customHeight="1">
      <c r="A346">
        <v>1604516038</v>
      </c>
      <c r="B346">
        <f>COUNTIF(A:A,A346)</f>
        <v>1</v>
      </c>
      <c r="C346" s="1">
        <f t="shared" ca="1" si="27"/>
        <v>18734</v>
      </c>
      <c r="D346" s="1">
        <v>44677</v>
      </c>
      <c r="E346" s="4">
        <f ca="1">DATEDIF(Table1[[#This Row],[DOB]],Table1[[#This Row],[eventDate]],"Y")</f>
        <v>71</v>
      </c>
      <c r="F346" s="4" t="str">
        <f t="shared" si="28"/>
        <v>Man</v>
      </c>
      <c r="G346" s="4">
        <f ca="1">_xlfn.DAYS(TODAY(),Table1[[#This Row],[eventDate]])</f>
        <v>1436</v>
      </c>
      <c r="H346" t="s">
        <v>27</v>
      </c>
      <c r="I346" t="s">
        <v>28</v>
      </c>
      <c r="J346" t="s">
        <v>29</v>
      </c>
      <c r="K346" s="1">
        <v>44729</v>
      </c>
      <c r="L346">
        <f t="shared" si="29"/>
        <v>52</v>
      </c>
      <c r="M346">
        <f>IF(Table1[[#This Row],[Alive]]="No",Table1[[#This Row],[daysDeath]],Table1[[#This Row],[daysSince]])</f>
        <v>52</v>
      </c>
      <c r="N346">
        <v>118</v>
      </c>
      <c r="O346">
        <v>14.1</v>
      </c>
      <c r="P346">
        <v>355</v>
      </c>
      <c r="Q346">
        <v>16</v>
      </c>
      <c r="R346">
        <v>5.6</v>
      </c>
      <c r="S346">
        <v>130</v>
      </c>
      <c r="T346">
        <v>663</v>
      </c>
      <c r="U346">
        <v>23</v>
      </c>
      <c r="V346">
        <v>109</v>
      </c>
      <c r="W346">
        <v>60</v>
      </c>
      <c r="X346" t="s">
        <v>30</v>
      </c>
      <c r="Y346" t="s">
        <v>31</v>
      </c>
      <c r="Z346" t="s">
        <v>29</v>
      </c>
    </row>
    <row r="347" spans="1:26" ht="30" customHeight="1">
      <c r="A347">
        <v>110505050</v>
      </c>
      <c r="B347">
        <f>COUNTIF(A:A,A347)</f>
        <v>1</v>
      </c>
      <c r="C347" s="1">
        <f t="shared" ca="1" si="27"/>
        <v>18537</v>
      </c>
      <c r="D347" s="1">
        <v>44679</v>
      </c>
      <c r="E347" s="4">
        <f ca="1">DATEDIF(Table1[[#This Row],[DOB]],Table1[[#This Row],[eventDate]],"Y")</f>
        <v>71</v>
      </c>
      <c r="F347" s="4" t="str">
        <f t="shared" si="28"/>
        <v>Man</v>
      </c>
      <c r="G347" s="4">
        <f ca="1">_xlfn.DAYS(TODAY(),Table1[[#This Row],[eventDate]])</f>
        <v>1434</v>
      </c>
      <c r="H347" t="s">
        <v>27</v>
      </c>
      <c r="I347" t="s">
        <v>28</v>
      </c>
      <c r="J347" t="s">
        <v>29</v>
      </c>
      <c r="K347" s="7">
        <v>45153</v>
      </c>
      <c r="L347">
        <f t="shared" si="29"/>
        <v>474</v>
      </c>
      <c r="M347">
        <f>IF(Table1[[#This Row],[Alive]]="No",Table1[[#This Row],[daysDeath]],Table1[[#This Row],[daysSince]])</f>
        <v>474</v>
      </c>
      <c r="N347">
        <v>91</v>
      </c>
      <c r="O347">
        <v>9.5</v>
      </c>
      <c r="P347">
        <v>401</v>
      </c>
      <c r="Q347">
        <v>13</v>
      </c>
      <c r="R347">
        <v>2.9</v>
      </c>
      <c r="S347">
        <v>70</v>
      </c>
      <c r="T347">
        <v>296</v>
      </c>
      <c r="U347">
        <v>17</v>
      </c>
      <c r="V347">
        <v>50</v>
      </c>
      <c r="W347">
        <v>96</v>
      </c>
      <c r="X347" t="s">
        <v>30</v>
      </c>
      <c r="Y347" t="s">
        <v>31</v>
      </c>
      <c r="Z347" t="s">
        <v>29</v>
      </c>
    </row>
    <row r="348" spans="1:26" ht="30" customHeight="1">
      <c r="A348">
        <v>1404556516</v>
      </c>
      <c r="B348">
        <f>COUNTIF(A:A,A348)</f>
        <v>1</v>
      </c>
      <c r="C348" s="1">
        <f t="shared" ca="1" si="27"/>
        <v>20193</v>
      </c>
      <c r="D348" s="1">
        <v>44706</v>
      </c>
      <c r="E348" s="4">
        <f ca="1">DATEDIF(Table1[[#This Row],[DOB]],Table1[[#This Row],[eventDate]],"Y")</f>
        <v>67</v>
      </c>
      <c r="F348" s="4" t="str">
        <f t="shared" si="28"/>
        <v>Man</v>
      </c>
      <c r="G348" s="4">
        <f ca="1">_xlfn.DAYS(TODAY(),Table1[[#This Row],[eventDate]])</f>
        <v>1407</v>
      </c>
      <c r="H348" t="s">
        <v>27</v>
      </c>
      <c r="I348" t="s">
        <v>34</v>
      </c>
      <c r="J348" t="s">
        <v>29</v>
      </c>
      <c r="K348" s="1">
        <v>44759</v>
      </c>
      <c r="L348">
        <f t="shared" si="29"/>
        <v>53</v>
      </c>
      <c r="M348">
        <f>IF(Table1[[#This Row],[Alive]]="No",Table1[[#This Row],[daysDeath]],Table1[[#This Row],[daysSince]])</f>
        <v>53</v>
      </c>
      <c r="N348">
        <v>124</v>
      </c>
      <c r="O348">
        <v>7.9</v>
      </c>
      <c r="P348">
        <v>275</v>
      </c>
      <c r="Q348">
        <v>12</v>
      </c>
      <c r="R348">
        <v>3.6</v>
      </c>
      <c r="S348">
        <v>85</v>
      </c>
      <c r="T348">
        <v>245</v>
      </c>
      <c r="U348">
        <v>24</v>
      </c>
      <c r="V348">
        <v>44</v>
      </c>
      <c r="W348">
        <v>62</v>
      </c>
      <c r="X348" t="s">
        <v>30</v>
      </c>
      <c r="Y348" t="s">
        <v>29</v>
      </c>
      <c r="Z348" t="s">
        <v>29</v>
      </c>
    </row>
    <row r="349" spans="1:26" ht="30" customHeight="1">
      <c r="A349">
        <v>2201396299</v>
      </c>
      <c r="B349">
        <f>COUNTIF(A:A,A349)</f>
        <v>1</v>
      </c>
      <c r="C349" s="1">
        <f t="shared" ca="1" si="27"/>
        <v>14267</v>
      </c>
      <c r="D349" s="1">
        <v>44711</v>
      </c>
      <c r="E349" s="4">
        <f ca="1">DATEDIF(Table1[[#This Row],[DOB]],Table1[[#This Row],[eventDate]],"Y")</f>
        <v>83</v>
      </c>
      <c r="F349" s="4" t="str">
        <f t="shared" si="28"/>
        <v>Man</v>
      </c>
      <c r="G349" s="4">
        <f ca="1">_xlfn.DAYS(TODAY(),Table1[[#This Row],[eventDate]])</f>
        <v>1402</v>
      </c>
      <c r="H349" t="s">
        <v>27</v>
      </c>
      <c r="I349" t="s">
        <v>34</v>
      </c>
      <c r="J349" t="s">
        <v>29</v>
      </c>
      <c r="K349" s="1">
        <v>44897</v>
      </c>
      <c r="L349">
        <f t="shared" si="29"/>
        <v>186</v>
      </c>
      <c r="M349">
        <f>IF(Table1[[#This Row],[Alive]]="No",Table1[[#This Row],[daysDeath]],Table1[[#This Row],[daysSince]])</f>
        <v>186</v>
      </c>
      <c r="N349">
        <v>134</v>
      </c>
      <c r="O349">
        <v>11.2</v>
      </c>
      <c r="P349">
        <v>217</v>
      </c>
      <c r="Q349">
        <v>12</v>
      </c>
      <c r="R349">
        <v>7.1</v>
      </c>
      <c r="S349">
        <v>72</v>
      </c>
      <c r="T349">
        <v>244</v>
      </c>
      <c r="U349">
        <v>27</v>
      </c>
      <c r="V349">
        <v>35</v>
      </c>
      <c r="W349">
        <v>72.5</v>
      </c>
      <c r="X349" t="s">
        <v>30</v>
      </c>
      <c r="Y349" t="s">
        <v>29</v>
      </c>
      <c r="Z349" t="s">
        <v>29</v>
      </c>
    </row>
    <row r="350" spans="1:26" ht="30" customHeight="1">
      <c r="A350">
        <v>2712523326</v>
      </c>
      <c r="B350">
        <f>COUNTIF(A:A,A350)</f>
        <v>1</v>
      </c>
      <c r="C350" s="1">
        <f t="shared" ca="1" si="27"/>
        <v>19355</v>
      </c>
      <c r="D350" s="1">
        <v>44715</v>
      </c>
      <c r="E350" s="4">
        <f ca="1">DATEDIF(Table1[[#This Row],[DOB]],Table1[[#This Row],[eventDate]],"Y")</f>
        <v>69</v>
      </c>
      <c r="F350" s="4" t="str">
        <f t="shared" si="28"/>
        <v>Woman</v>
      </c>
      <c r="G350" s="4">
        <f ca="1">_xlfn.DAYS(TODAY(),Table1[[#This Row],[eventDate]])</f>
        <v>1398</v>
      </c>
      <c r="H350" t="s">
        <v>32</v>
      </c>
      <c r="I350" t="s">
        <v>34</v>
      </c>
      <c r="J350" t="s">
        <v>29</v>
      </c>
      <c r="K350" s="1">
        <v>44840</v>
      </c>
      <c r="L350">
        <f t="shared" si="29"/>
        <v>125</v>
      </c>
      <c r="M350">
        <f>IF(Table1[[#This Row],[Alive]]="No",Table1[[#This Row],[daysDeath]],Table1[[#This Row],[daysSince]])</f>
        <v>125</v>
      </c>
      <c r="N350">
        <v>89</v>
      </c>
      <c r="O350">
        <v>14.4</v>
      </c>
      <c r="P350">
        <v>274</v>
      </c>
      <c r="Q350">
        <v>11</v>
      </c>
      <c r="R350">
        <v>3.5</v>
      </c>
      <c r="S350">
        <v>54</v>
      </c>
      <c r="T350">
        <v>158</v>
      </c>
      <c r="U350">
        <v>19</v>
      </c>
      <c r="V350">
        <v>200</v>
      </c>
      <c r="W350">
        <v>54.7</v>
      </c>
      <c r="X350" t="s">
        <v>30</v>
      </c>
      <c r="Y350" t="s">
        <v>31</v>
      </c>
      <c r="Z350" t="s">
        <v>29</v>
      </c>
    </row>
    <row r="351" spans="1:26" ht="30" customHeight="1">
      <c r="A351">
        <v>2708546058</v>
      </c>
      <c r="B351">
        <f>COUNTIF(A:A,A351)</f>
        <v>1</v>
      </c>
      <c r="C351" s="1">
        <f t="shared" ca="1" si="27"/>
        <v>19963</v>
      </c>
      <c r="D351" s="1">
        <v>44716</v>
      </c>
      <c r="E351" s="4">
        <f ca="1">DATEDIF(Table1[[#This Row],[DOB]],Table1[[#This Row],[eventDate]],"Y")</f>
        <v>67</v>
      </c>
      <c r="F351" s="4" t="str">
        <f t="shared" si="28"/>
        <v>Man</v>
      </c>
      <c r="G351" s="4">
        <f ca="1">_xlfn.DAYS(TODAY(),Table1[[#This Row],[eventDate]])</f>
        <v>1397</v>
      </c>
      <c r="H351" t="s">
        <v>36</v>
      </c>
      <c r="I351" t="s">
        <v>34</v>
      </c>
      <c r="J351" t="s">
        <v>31</v>
      </c>
      <c r="L351" t="str">
        <f t="shared" si="29"/>
        <v/>
      </c>
      <c r="M351">
        <f ca="1">IF(Table1[[#This Row],[Alive]]="No",Table1[[#This Row],[daysDeath]],Table1[[#This Row],[daysSince]])</f>
        <v>1397</v>
      </c>
      <c r="N351">
        <v>113</v>
      </c>
      <c r="O351">
        <v>10.7</v>
      </c>
      <c r="P351">
        <v>228</v>
      </c>
      <c r="Q351">
        <v>13</v>
      </c>
      <c r="R351">
        <v>3.2</v>
      </c>
      <c r="S351">
        <v>60</v>
      </c>
      <c r="T351">
        <v>404</v>
      </c>
      <c r="U351">
        <v>19</v>
      </c>
      <c r="V351">
        <v>9</v>
      </c>
      <c r="W351">
        <v>95</v>
      </c>
      <c r="X351" t="s">
        <v>30</v>
      </c>
      <c r="Y351" t="s">
        <v>31</v>
      </c>
      <c r="Z351" t="s">
        <v>29</v>
      </c>
    </row>
    <row r="352" spans="1:26" ht="30" customHeight="1">
      <c r="A352">
        <v>2705616519</v>
      </c>
      <c r="B352">
        <f>COUNTIF(A:A,A352)</f>
        <v>1</v>
      </c>
      <c r="C352" s="1">
        <f t="shared" ca="1" si="27"/>
        <v>22428</v>
      </c>
      <c r="D352" s="1">
        <v>44722</v>
      </c>
      <c r="E352" s="4">
        <f ca="1">DATEDIF(Table1[[#This Row],[DOB]],Table1[[#This Row],[eventDate]],"Y")</f>
        <v>61</v>
      </c>
      <c r="F352" s="4" t="str">
        <f t="shared" si="28"/>
        <v>Man</v>
      </c>
      <c r="G352" s="4">
        <f ca="1">_xlfn.DAYS(TODAY(),Table1[[#This Row],[eventDate]])</f>
        <v>1391</v>
      </c>
      <c r="H352" t="s">
        <v>32</v>
      </c>
      <c r="I352" t="s">
        <v>34</v>
      </c>
      <c r="J352" t="s">
        <v>29</v>
      </c>
      <c r="K352" s="1">
        <v>44736</v>
      </c>
      <c r="L352">
        <f t="shared" si="29"/>
        <v>14</v>
      </c>
      <c r="M352">
        <f>IF(Table1[[#This Row],[Alive]]="No",Table1[[#This Row],[daysDeath]],Table1[[#This Row],[daysSince]])</f>
        <v>14</v>
      </c>
      <c r="N352">
        <v>119</v>
      </c>
      <c r="O352">
        <v>6.5</v>
      </c>
      <c r="P352">
        <v>369</v>
      </c>
      <c r="Q352">
        <v>10</v>
      </c>
      <c r="R352">
        <v>4.0999999999999996</v>
      </c>
      <c r="S352">
        <v>60</v>
      </c>
      <c r="T352">
        <v>703</v>
      </c>
      <c r="U352">
        <v>22</v>
      </c>
      <c r="V352">
        <v>7</v>
      </c>
      <c r="W352">
        <v>63</v>
      </c>
      <c r="X352" t="s">
        <v>30</v>
      </c>
      <c r="Y352" t="s">
        <v>29</v>
      </c>
      <c r="Z352" t="s">
        <v>31</v>
      </c>
    </row>
    <row r="353" spans="1:26" ht="30" customHeight="1">
      <c r="A353">
        <v>1102513008</v>
      </c>
      <c r="B353">
        <f>COUNTIF(A:A,A353)</f>
        <v>1</v>
      </c>
      <c r="C353" s="1">
        <f t="shared" ca="1" si="27"/>
        <v>18670</v>
      </c>
      <c r="D353" s="1">
        <v>44728</v>
      </c>
      <c r="E353" s="4">
        <f ca="1">DATEDIF(Table1[[#This Row],[DOB]],Table1[[#This Row],[eventDate]],"Y")</f>
        <v>71</v>
      </c>
      <c r="F353" s="4" t="str">
        <f t="shared" si="28"/>
        <v>Woman</v>
      </c>
      <c r="G353" s="4">
        <f ca="1">_xlfn.DAYS(TODAY(),Table1[[#This Row],[eventDate]])</f>
        <v>1385</v>
      </c>
      <c r="H353" t="s">
        <v>27</v>
      </c>
      <c r="I353" t="s">
        <v>28</v>
      </c>
      <c r="J353" t="s">
        <v>29</v>
      </c>
      <c r="K353" s="1">
        <v>44770</v>
      </c>
      <c r="L353">
        <f t="shared" si="29"/>
        <v>42</v>
      </c>
      <c r="M353">
        <f>IF(Table1[[#This Row],[Alive]]="No",Table1[[#This Row],[daysDeath]],Table1[[#This Row],[daysSince]])</f>
        <v>42</v>
      </c>
      <c r="N353">
        <v>135</v>
      </c>
      <c r="O353">
        <v>6.3</v>
      </c>
      <c r="P353">
        <v>295</v>
      </c>
      <c r="Q353">
        <v>12</v>
      </c>
      <c r="R353">
        <v>2.9</v>
      </c>
      <c r="S353">
        <v>53</v>
      </c>
      <c r="T353">
        <v>192</v>
      </c>
      <c r="U353">
        <v>25</v>
      </c>
      <c r="V353">
        <v>42</v>
      </c>
      <c r="W353">
        <v>89.6</v>
      </c>
      <c r="X353" t="s">
        <v>30</v>
      </c>
      <c r="Y353" t="s">
        <v>31</v>
      </c>
      <c r="Z353" t="s">
        <v>31</v>
      </c>
    </row>
    <row r="354" spans="1:26" ht="30" customHeight="1">
      <c r="A354">
        <v>811406296</v>
      </c>
      <c r="B354">
        <f>COUNTIF(A:A,A354)</f>
        <v>1</v>
      </c>
      <c r="C354" s="1">
        <f t="shared" ca="1" si="27"/>
        <v>14923</v>
      </c>
      <c r="D354" s="1">
        <v>44739</v>
      </c>
      <c r="E354" s="4">
        <f ca="1">DATEDIF(Table1[[#This Row],[DOB]],Table1[[#This Row],[eventDate]],"Y")</f>
        <v>81</v>
      </c>
      <c r="F354" s="4" t="str">
        <f t="shared" si="28"/>
        <v>Man</v>
      </c>
      <c r="G354" s="4">
        <f ca="1">_xlfn.DAYS(TODAY(),Table1[[#This Row],[eventDate]])</f>
        <v>1374</v>
      </c>
      <c r="H354" t="s">
        <v>27</v>
      </c>
      <c r="I354" t="s">
        <v>34</v>
      </c>
      <c r="J354" t="s">
        <v>29</v>
      </c>
      <c r="K354" s="1">
        <v>44781</v>
      </c>
      <c r="L354">
        <f t="shared" si="29"/>
        <v>42</v>
      </c>
      <c r="M354">
        <f>IF(Table1[[#This Row],[Alive]]="No",Table1[[#This Row],[daysDeath]],Table1[[#This Row],[daysSince]])</f>
        <v>42</v>
      </c>
      <c r="N354">
        <v>90</v>
      </c>
      <c r="O354">
        <v>18.8</v>
      </c>
      <c r="P354">
        <v>499</v>
      </c>
      <c r="Q354">
        <v>11</v>
      </c>
      <c r="R354">
        <v>8.5</v>
      </c>
      <c r="S354">
        <v>70</v>
      </c>
      <c r="T354">
        <v>339</v>
      </c>
      <c r="U354">
        <v>19</v>
      </c>
      <c r="V354">
        <v>71</v>
      </c>
      <c r="W354">
        <v>68.7</v>
      </c>
      <c r="X354" t="s">
        <v>30</v>
      </c>
      <c r="Y354" t="s">
        <v>31</v>
      </c>
      <c r="Z354" t="s">
        <v>29</v>
      </c>
    </row>
    <row r="355" spans="1:26" ht="30" customHeight="1">
      <c r="A355">
        <v>2411566298</v>
      </c>
      <c r="B355">
        <f>COUNTIF(A:A,A355)</f>
        <v>1</v>
      </c>
      <c r="C355" s="1">
        <f t="shared" ca="1" si="27"/>
        <v>20783</v>
      </c>
      <c r="D355" s="1">
        <v>44749</v>
      </c>
      <c r="E355" s="4">
        <f ca="1">DATEDIF(Table1[[#This Row],[DOB]],Table1[[#This Row],[eventDate]],"Y")</f>
        <v>65</v>
      </c>
      <c r="F355" s="4" t="str">
        <f t="shared" si="28"/>
        <v>Man</v>
      </c>
      <c r="G355" s="4">
        <f ca="1">_xlfn.DAYS(TODAY(),Table1[[#This Row],[eventDate]])</f>
        <v>1364</v>
      </c>
      <c r="H355" t="s">
        <v>27</v>
      </c>
      <c r="I355" t="s">
        <v>34</v>
      </c>
      <c r="J355" t="s">
        <v>29</v>
      </c>
      <c r="K355" s="1">
        <v>44889</v>
      </c>
      <c r="L355">
        <f t="shared" si="29"/>
        <v>140</v>
      </c>
      <c r="M355">
        <f>IF(Table1[[#This Row],[Alive]]="No",Table1[[#This Row],[daysDeath]],Table1[[#This Row],[daysSince]])</f>
        <v>140</v>
      </c>
      <c r="N355">
        <v>99</v>
      </c>
      <c r="O355">
        <v>3.8</v>
      </c>
      <c r="P355">
        <v>248</v>
      </c>
      <c r="Q355">
        <v>12</v>
      </c>
      <c r="R355">
        <v>2.2999999999999998</v>
      </c>
      <c r="S355">
        <v>57</v>
      </c>
      <c r="T355">
        <v>295</v>
      </c>
      <c r="U355">
        <v>18</v>
      </c>
      <c r="V355">
        <v>52</v>
      </c>
      <c r="W355">
        <v>81</v>
      </c>
      <c r="X355" t="s">
        <v>33</v>
      </c>
      <c r="Y355" t="s">
        <v>31</v>
      </c>
      <c r="Z355" t="s">
        <v>29</v>
      </c>
    </row>
    <row r="356" spans="1:26" ht="30" customHeight="1">
      <c r="A356">
        <v>1805513214</v>
      </c>
      <c r="B356">
        <f>COUNTIF(A:A,A356)</f>
        <v>1</v>
      </c>
      <c r="C356" s="1">
        <f t="shared" ca="1" si="27"/>
        <v>18766</v>
      </c>
      <c r="D356" s="1">
        <v>44754</v>
      </c>
      <c r="E356" s="4">
        <f ca="1">DATEDIF(Table1[[#This Row],[DOB]],Table1[[#This Row],[eventDate]],"Y")</f>
        <v>71</v>
      </c>
      <c r="F356" s="4" t="str">
        <f t="shared" si="28"/>
        <v>Man</v>
      </c>
      <c r="G356" s="4">
        <f ca="1">_xlfn.DAYS(TODAY(),Table1[[#This Row],[eventDate]])</f>
        <v>1359</v>
      </c>
      <c r="H356" t="s">
        <v>27</v>
      </c>
      <c r="I356" t="s">
        <v>34</v>
      </c>
      <c r="J356" t="s">
        <v>31</v>
      </c>
      <c r="L356" t="str">
        <f t="shared" si="29"/>
        <v/>
      </c>
      <c r="M356">
        <f ca="1">IF(Table1[[#This Row],[Alive]]="No",Table1[[#This Row],[daysDeath]],Table1[[#This Row],[daysSince]])</f>
        <v>1359</v>
      </c>
      <c r="N356">
        <v>147</v>
      </c>
      <c r="O356">
        <v>5.8</v>
      </c>
      <c r="P356">
        <v>228</v>
      </c>
      <c r="Q356">
        <v>10</v>
      </c>
      <c r="R356">
        <v>5.4</v>
      </c>
      <c r="S356">
        <v>108</v>
      </c>
      <c r="T356">
        <v>14</v>
      </c>
      <c r="U356">
        <v>35</v>
      </c>
      <c r="V356">
        <v>3</v>
      </c>
      <c r="W356">
        <v>80</v>
      </c>
      <c r="X356" t="s">
        <v>33</v>
      </c>
      <c r="Y356" t="s">
        <v>29</v>
      </c>
      <c r="Z356" t="s">
        <v>29</v>
      </c>
    </row>
    <row r="357" spans="1:26" ht="30" customHeight="1">
      <c r="A357">
        <v>2710346109</v>
      </c>
      <c r="B357">
        <f>COUNTIF(A:A,A357)</f>
        <v>1</v>
      </c>
      <c r="C357" s="1">
        <f t="shared" ca="1" si="27"/>
        <v>12719</v>
      </c>
      <c r="D357" s="1">
        <v>44761</v>
      </c>
      <c r="E357" s="4">
        <f ca="1">DATEDIF(Table1[[#This Row],[DOB]],Table1[[#This Row],[eventDate]],"Y")</f>
        <v>87</v>
      </c>
      <c r="F357" s="4" t="str">
        <f t="shared" si="28"/>
        <v>Woman</v>
      </c>
      <c r="G357" s="4">
        <f ca="1">_xlfn.DAYS(TODAY(),Table1[[#This Row],[eventDate]])</f>
        <v>1352</v>
      </c>
      <c r="H357" t="s">
        <v>32</v>
      </c>
      <c r="I357" t="s">
        <v>34</v>
      </c>
      <c r="J357" t="s">
        <v>29</v>
      </c>
      <c r="K357" s="1">
        <v>45176</v>
      </c>
      <c r="L357">
        <f t="shared" si="29"/>
        <v>415</v>
      </c>
      <c r="M357">
        <f>IF(Table1[[#This Row],[Alive]]="No",Table1[[#This Row],[daysDeath]],Table1[[#This Row],[daysSince]])</f>
        <v>415</v>
      </c>
      <c r="N357">
        <v>122</v>
      </c>
      <c r="O357">
        <v>11.9</v>
      </c>
      <c r="P357">
        <v>380</v>
      </c>
      <c r="Q357">
        <v>14</v>
      </c>
      <c r="R357">
        <v>4.7</v>
      </c>
      <c r="S357">
        <v>63</v>
      </c>
      <c r="T357">
        <v>378</v>
      </c>
      <c r="U357">
        <v>13</v>
      </c>
      <c r="V357">
        <v>91</v>
      </c>
      <c r="W357">
        <v>57.5</v>
      </c>
      <c r="X357" t="s">
        <v>30</v>
      </c>
      <c r="Y357" t="s">
        <v>31</v>
      </c>
      <c r="Z357" t="s">
        <v>29</v>
      </c>
    </row>
    <row r="358" spans="1:26" ht="30" customHeight="1">
      <c r="A358">
        <v>1506603270</v>
      </c>
      <c r="B358">
        <f>COUNTIF(A:A,A358)</f>
        <v>1</v>
      </c>
      <c r="C358" s="1">
        <f t="shared" ca="1" si="27"/>
        <v>22082</v>
      </c>
      <c r="D358" s="1">
        <v>44761</v>
      </c>
      <c r="E358" s="4">
        <f ca="1">DATEDIF(Table1[[#This Row],[DOB]],Table1[[#This Row],[eventDate]],"Y")</f>
        <v>62</v>
      </c>
      <c r="F358" s="4" t="str">
        <f t="shared" si="28"/>
        <v>Man</v>
      </c>
      <c r="G358" s="4">
        <f ca="1">_xlfn.DAYS(TODAY(),Table1[[#This Row],[eventDate]])</f>
        <v>1352</v>
      </c>
      <c r="H358" t="s">
        <v>32</v>
      </c>
      <c r="I358" t="s">
        <v>28</v>
      </c>
      <c r="J358" t="s">
        <v>29</v>
      </c>
      <c r="K358" s="1">
        <v>45640</v>
      </c>
      <c r="L358">
        <f t="shared" si="29"/>
        <v>879</v>
      </c>
      <c r="M358">
        <f>IF(Table1[[#This Row],[Alive]]="No",Table1[[#This Row],[daysDeath]],Table1[[#This Row],[daysSince]])</f>
        <v>879</v>
      </c>
      <c r="N358">
        <v>95</v>
      </c>
      <c r="O358">
        <v>14.9</v>
      </c>
      <c r="P358">
        <v>321</v>
      </c>
      <c r="Q358">
        <v>14</v>
      </c>
      <c r="R358">
        <v>2.9</v>
      </c>
      <c r="S358">
        <v>38</v>
      </c>
      <c r="T358">
        <v>90</v>
      </c>
      <c r="U358">
        <v>16</v>
      </c>
      <c r="V358">
        <v>310</v>
      </c>
      <c r="W358">
        <v>61</v>
      </c>
      <c r="X358" t="s">
        <v>33</v>
      </c>
      <c r="Y358" t="s">
        <v>29</v>
      </c>
      <c r="Z358" t="s">
        <v>29</v>
      </c>
    </row>
    <row r="359" spans="1:26" ht="30" customHeight="1">
      <c r="A359">
        <v>106591630</v>
      </c>
      <c r="B359">
        <f>COUNTIF(A:A,A359)</f>
        <v>1</v>
      </c>
      <c r="C359" s="1">
        <f t="shared" ca="1" si="27"/>
        <v>21702</v>
      </c>
      <c r="D359" s="1">
        <v>44763</v>
      </c>
      <c r="E359" s="4">
        <f ca="1">DATEDIF(Table1[[#This Row],[DOB]],Table1[[#This Row],[eventDate]],"Y")</f>
        <v>63</v>
      </c>
      <c r="F359" s="4" t="str">
        <f t="shared" si="28"/>
        <v>Man</v>
      </c>
      <c r="G359" s="4">
        <f ca="1">_xlfn.DAYS(TODAY(),Table1[[#This Row],[eventDate]])</f>
        <v>1350</v>
      </c>
      <c r="H359" t="s">
        <v>32</v>
      </c>
      <c r="I359" t="s">
        <v>28</v>
      </c>
      <c r="J359" t="s">
        <v>29</v>
      </c>
      <c r="K359" s="1">
        <v>45183</v>
      </c>
      <c r="L359">
        <f t="shared" si="29"/>
        <v>420</v>
      </c>
      <c r="M359">
        <f>IF(Table1[[#This Row],[Alive]]="No",Table1[[#This Row],[daysDeath]],Table1[[#This Row],[daysSince]])</f>
        <v>420</v>
      </c>
      <c r="N359">
        <v>108</v>
      </c>
      <c r="O359">
        <v>6</v>
      </c>
      <c r="P359">
        <v>296</v>
      </c>
      <c r="Q359">
        <v>13</v>
      </c>
      <c r="R359">
        <v>3.1</v>
      </c>
      <c r="S359">
        <v>48</v>
      </c>
      <c r="T359">
        <v>218</v>
      </c>
      <c r="U359">
        <v>27</v>
      </c>
      <c r="V359">
        <v>46</v>
      </c>
      <c r="W359">
        <v>71</v>
      </c>
      <c r="X359" t="s">
        <v>30</v>
      </c>
      <c r="Y359" t="s">
        <v>31</v>
      </c>
      <c r="Z359" t="s">
        <v>29</v>
      </c>
    </row>
    <row r="360" spans="1:26" ht="30" customHeight="1">
      <c r="A360">
        <v>1705332137</v>
      </c>
      <c r="B360">
        <f>COUNTIF(A:A,A360)</f>
        <v>1</v>
      </c>
      <c r="C360" s="1">
        <f t="shared" ca="1" si="27"/>
        <v>12191</v>
      </c>
      <c r="D360" s="1">
        <v>44770</v>
      </c>
      <c r="E360" s="4">
        <f ca="1">DATEDIF(Table1[[#This Row],[DOB]],Table1[[#This Row],[eventDate]],"Y")</f>
        <v>89</v>
      </c>
      <c r="F360" s="4" t="str">
        <f t="shared" si="28"/>
        <v>Man</v>
      </c>
      <c r="G360" s="4">
        <f ca="1">_xlfn.DAYS(TODAY(),Table1[[#This Row],[eventDate]])</f>
        <v>1343</v>
      </c>
      <c r="H360" t="s">
        <v>36</v>
      </c>
      <c r="I360" t="s">
        <v>34</v>
      </c>
      <c r="J360" t="s">
        <v>29</v>
      </c>
      <c r="K360" s="1">
        <v>44817</v>
      </c>
      <c r="L360">
        <f t="shared" si="29"/>
        <v>47</v>
      </c>
      <c r="M360">
        <f>IF(Table1[[#This Row],[Alive]]="No",Table1[[#This Row],[daysDeath]],Table1[[#This Row],[daysSince]])</f>
        <v>47</v>
      </c>
      <c r="N360">
        <v>110</v>
      </c>
      <c r="O360">
        <v>8.9</v>
      </c>
      <c r="P360">
        <v>346</v>
      </c>
      <c r="Q360">
        <v>13</v>
      </c>
      <c r="R360">
        <v>13.6</v>
      </c>
      <c r="S360">
        <v>149</v>
      </c>
      <c r="T360">
        <v>725</v>
      </c>
      <c r="U360">
        <v>24</v>
      </c>
      <c r="V360">
        <v>19</v>
      </c>
      <c r="X360" t="s">
        <v>30</v>
      </c>
      <c r="Y360" t="s">
        <v>29</v>
      </c>
      <c r="Z360" t="s">
        <v>47</v>
      </c>
    </row>
    <row r="361" spans="1:26" ht="30" customHeight="1">
      <c r="A361">
        <v>1407535188</v>
      </c>
      <c r="B361">
        <f>COUNTIF(A:A,A361)</f>
        <v>1</v>
      </c>
      <c r="C361" s="1">
        <f t="shared" ca="1" si="27"/>
        <v>19554</v>
      </c>
      <c r="D361" s="1">
        <v>44777</v>
      </c>
      <c r="E361" s="4">
        <f ca="1">DATEDIF(Table1[[#This Row],[DOB]],Table1[[#This Row],[eventDate]],"Y")</f>
        <v>69</v>
      </c>
      <c r="F361" s="4" t="str">
        <f t="shared" si="28"/>
        <v>Woman</v>
      </c>
      <c r="G361" s="4">
        <f ca="1">_xlfn.DAYS(TODAY(),Table1[[#This Row],[eventDate]])</f>
        <v>1336</v>
      </c>
      <c r="H361" t="s">
        <v>27</v>
      </c>
      <c r="I361" t="s">
        <v>28</v>
      </c>
      <c r="J361" t="s">
        <v>29</v>
      </c>
      <c r="K361" s="1">
        <v>45127</v>
      </c>
      <c r="L361">
        <f t="shared" si="29"/>
        <v>350</v>
      </c>
      <c r="M361">
        <f>IF(Table1[[#This Row],[Alive]]="No",Table1[[#This Row],[daysDeath]],Table1[[#This Row],[daysSince]])</f>
        <v>350</v>
      </c>
      <c r="N361">
        <v>115</v>
      </c>
      <c r="O361">
        <v>8.6999999999999993</v>
      </c>
      <c r="P361">
        <v>392</v>
      </c>
      <c r="Q361">
        <v>11</v>
      </c>
      <c r="R361">
        <v>4.4000000000000004</v>
      </c>
      <c r="S361">
        <v>34</v>
      </c>
      <c r="T361">
        <v>191</v>
      </c>
      <c r="U361">
        <v>22</v>
      </c>
      <c r="V361">
        <v>92</v>
      </c>
      <c r="W361">
        <v>46.9</v>
      </c>
      <c r="X361" t="s">
        <v>30</v>
      </c>
      <c r="Y361" t="s">
        <v>29</v>
      </c>
      <c r="Z361" t="s">
        <v>29</v>
      </c>
    </row>
    <row r="362" spans="1:26" ht="30" customHeight="1">
      <c r="A362">
        <v>1207546003</v>
      </c>
      <c r="B362">
        <f>COUNTIF(A:A,A362)</f>
        <v>1</v>
      </c>
      <c r="C362" s="1">
        <f t="shared" ca="1" si="27"/>
        <v>19917</v>
      </c>
      <c r="D362" s="1">
        <v>44795</v>
      </c>
      <c r="E362" s="4">
        <f ca="1">DATEDIF(Table1[[#This Row],[DOB]],Table1[[#This Row],[eventDate]],"Y")</f>
        <v>68</v>
      </c>
      <c r="F362" s="4" t="str">
        <f t="shared" si="28"/>
        <v>Woman</v>
      </c>
      <c r="G362" s="4">
        <f ca="1">_xlfn.DAYS(TODAY(),Table1[[#This Row],[eventDate]])</f>
        <v>1318</v>
      </c>
      <c r="H362" t="s">
        <v>32</v>
      </c>
      <c r="I362" t="s">
        <v>34</v>
      </c>
      <c r="J362" t="s">
        <v>29</v>
      </c>
      <c r="K362" s="1">
        <v>44884</v>
      </c>
      <c r="L362">
        <f t="shared" si="29"/>
        <v>89</v>
      </c>
      <c r="M362">
        <f>IF(Table1[[#This Row],[Alive]]="No",Table1[[#This Row],[daysDeath]],Table1[[#This Row],[daysSince]])</f>
        <v>89</v>
      </c>
      <c r="N362">
        <v>111</v>
      </c>
      <c r="O362">
        <v>5.9</v>
      </c>
      <c r="P362">
        <v>402</v>
      </c>
      <c r="Q362">
        <v>13</v>
      </c>
      <c r="R362">
        <v>1.2</v>
      </c>
      <c r="S362">
        <v>45</v>
      </c>
      <c r="T362">
        <v>113</v>
      </c>
      <c r="U362">
        <v>25</v>
      </c>
      <c r="V362">
        <v>26</v>
      </c>
      <c r="W362">
        <v>51.4</v>
      </c>
      <c r="X362" t="s">
        <v>30</v>
      </c>
      <c r="Y362" t="s">
        <v>29</v>
      </c>
      <c r="Z362" t="s">
        <v>29</v>
      </c>
    </row>
    <row r="363" spans="1:26" ht="30" customHeight="1">
      <c r="A363">
        <v>1410536432</v>
      </c>
      <c r="B363">
        <f>COUNTIF(A:A,A363)</f>
        <v>1</v>
      </c>
      <c r="C363" s="1">
        <f t="shared" ca="1" si="27"/>
        <v>19646</v>
      </c>
      <c r="D363" s="1">
        <v>44798</v>
      </c>
      <c r="E363" s="4">
        <f ca="1">DATEDIF(Table1[[#This Row],[DOB]],Table1[[#This Row],[eventDate]],"Y")</f>
        <v>68</v>
      </c>
      <c r="F363" s="4" t="str">
        <f t="shared" si="28"/>
        <v>Man</v>
      </c>
      <c r="G363" s="4">
        <f ca="1">_xlfn.DAYS(TODAY(),Table1[[#This Row],[eventDate]])</f>
        <v>1315</v>
      </c>
      <c r="H363" t="s">
        <v>32</v>
      </c>
      <c r="I363" t="s">
        <v>28</v>
      </c>
      <c r="J363" t="s">
        <v>29</v>
      </c>
      <c r="K363" s="1">
        <v>44889</v>
      </c>
      <c r="L363">
        <f t="shared" si="29"/>
        <v>91</v>
      </c>
      <c r="M363">
        <f>IF(Table1[[#This Row],[Alive]]="No",Table1[[#This Row],[daysDeath]],Table1[[#This Row],[daysSince]])</f>
        <v>91</v>
      </c>
      <c r="N363">
        <v>101</v>
      </c>
      <c r="O363">
        <v>6.2</v>
      </c>
      <c r="P363">
        <v>443</v>
      </c>
      <c r="Q363">
        <v>14</v>
      </c>
      <c r="R363">
        <v>3.4</v>
      </c>
      <c r="S363">
        <v>52</v>
      </c>
      <c r="T363">
        <v>199</v>
      </c>
      <c r="U363">
        <v>19</v>
      </c>
      <c r="V363">
        <v>167</v>
      </c>
      <c r="W363">
        <v>87.5</v>
      </c>
      <c r="X363" t="s">
        <v>30</v>
      </c>
      <c r="Y363" t="s">
        <v>29</v>
      </c>
      <c r="Z363" t="s">
        <v>29</v>
      </c>
    </row>
    <row r="364" spans="1:26" ht="30" customHeight="1">
      <c r="A364">
        <v>2402470291</v>
      </c>
      <c r="B364">
        <f>COUNTIF(A:A,A364)</f>
        <v>1</v>
      </c>
      <c r="C364" s="1">
        <f t="shared" ca="1" si="27"/>
        <v>17222</v>
      </c>
      <c r="D364" s="1">
        <v>44803</v>
      </c>
      <c r="E364" s="4">
        <f ca="1">DATEDIF(Table1[[#This Row],[DOB]],Table1[[#This Row],[eventDate]],"Y")</f>
        <v>75</v>
      </c>
      <c r="F364" s="4" t="str">
        <f t="shared" si="28"/>
        <v>Man</v>
      </c>
      <c r="G364" s="4">
        <f ca="1">_xlfn.DAYS(TODAY(),Table1[[#This Row],[eventDate]])</f>
        <v>1310</v>
      </c>
      <c r="H364" t="s">
        <v>32</v>
      </c>
      <c r="I364" t="s">
        <v>28</v>
      </c>
      <c r="J364" t="s">
        <v>29</v>
      </c>
      <c r="K364" s="1">
        <v>44810</v>
      </c>
      <c r="L364">
        <f t="shared" si="29"/>
        <v>7</v>
      </c>
      <c r="M364">
        <f>IF(Table1[[#This Row],[Alive]]="No",Table1[[#This Row],[daysDeath]],Table1[[#This Row],[daysSince]])</f>
        <v>7</v>
      </c>
      <c r="N364">
        <v>108</v>
      </c>
      <c r="O364">
        <v>8.6</v>
      </c>
      <c r="P364">
        <v>141</v>
      </c>
      <c r="Q364">
        <v>12</v>
      </c>
      <c r="R364">
        <v>5.0999999999999996</v>
      </c>
      <c r="S364">
        <v>67</v>
      </c>
      <c r="T364">
        <v>448</v>
      </c>
      <c r="U364">
        <v>20</v>
      </c>
      <c r="V364">
        <v>50</v>
      </c>
      <c r="W364">
        <v>98.8</v>
      </c>
      <c r="X364" t="s">
        <v>30</v>
      </c>
      <c r="Y364" t="s">
        <v>29</v>
      </c>
      <c r="Z364" t="s">
        <v>31</v>
      </c>
    </row>
    <row r="365" spans="1:26" ht="30" customHeight="1">
      <c r="A365">
        <v>2705595597</v>
      </c>
      <c r="B365">
        <f>COUNTIF(A:A,A365)</f>
        <v>1</v>
      </c>
      <c r="C365" s="1">
        <f t="shared" ca="1" si="27"/>
        <v>21697</v>
      </c>
      <c r="D365" s="1">
        <v>44803</v>
      </c>
      <c r="E365" s="4">
        <f ca="1">DATEDIF(Table1[[#This Row],[DOB]],Table1[[#This Row],[eventDate]],"Y")</f>
        <v>63</v>
      </c>
      <c r="F365" s="4" t="str">
        <f t="shared" si="28"/>
        <v>Man</v>
      </c>
      <c r="G365" s="4">
        <f ca="1">_xlfn.DAYS(TODAY(),Table1[[#This Row],[eventDate]])</f>
        <v>1310</v>
      </c>
      <c r="H365" t="s">
        <v>32</v>
      </c>
      <c r="I365" t="s">
        <v>28</v>
      </c>
      <c r="J365" t="s">
        <v>29</v>
      </c>
      <c r="K365" s="1">
        <v>44900</v>
      </c>
      <c r="L365">
        <f t="shared" si="29"/>
        <v>97</v>
      </c>
      <c r="M365">
        <f>IF(Table1[[#This Row],[Alive]]="No",Table1[[#This Row],[daysDeath]],Table1[[#This Row],[daysSince]])</f>
        <v>97</v>
      </c>
      <c r="N365">
        <v>117</v>
      </c>
      <c r="O365">
        <v>12.3</v>
      </c>
      <c r="P365">
        <v>462</v>
      </c>
      <c r="Q365">
        <v>12</v>
      </c>
      <c r="R365">
        <v>3.4</v>
      </c>
      <c r="S365">
        <v>67</v>
      </c>
      <c r="T365">
        <v>339</v>
      </c>
      <c r="U365">
        <v>23</v>
      </c>
      <c r="V365">
        <v>38</v>
      </c>
      <c r="W365">
        <v>50.5</v>
      </c>
      <c r="X365" t="s">
        <v>30</v>
      </c>
      <c r="Y365" t="s">
        <v>29</v>
      </c>
      <c r="Z365" t="s">
        <v>29</v>
      </c>
    </row>
    <row r="366" spans="1:26" ht="30" customHeight="1">
      <c r="A366">
        <v>109475267</v>
      </c>
      <c r="B366">
        <f>COUNTIF(A:A,A366)</f>
        <v>1</v>
      </c>
      <c r="C366" s="1">
        <f t="shared" ca="1" si="27"/>
        <v>17411</v>
      </c>
      <c r="D366" s="1">
        <v>44805</v>
      </c>
      <c r="E366" s="4">
        <f ca="1">DATEDIF(Table1[[#This Row],[DOB]],Table1[[#This Row],[eventDate]],"Y")</f>
        <v>75</v>
      </c>
      <c r="F366" s="4" t="str">
        <f t="shared" si="28"/>
        <v>Woman</v>
      </c>
      <c r="G366" s="4">
        <f ca="1">_xlfn.DAYS(TODAY(),Table1[[#This Row],[eventDate]])</f>
        <v>1308</v>
      </c>
      <c r="H366" t="s">
        <v>32</v>
      </c>
      <c r="I366" t="s">
        <v>28</v>
      </c>
      <c r="J366" t="s">
        <v>29</v>
      </c>
      <c r="K366" s="1">
        <v>44937</v>
      </c>
      <c r="L366">
        <f t="shared" si="29"/>
        <v>132</v>
      </c>
      <c r="M366">
        <f>IF(Table1[[#This Row],[Alive]]="No",Table1[[#This Row],[daysDeath]],Table1[[#This Row],[daysSince]])</f>
        <v>132</v>
      </c>
      <c r="N366">
        <v>106</v>
      </c>
      <c r="O366">
        <v>8</v>
      </c>
      <c r="P366">
        <v>455</v>
      </c>
      <c r="Q366">
        <v>10</v>
      </c>
      <c r="R366">
        <v>3.5</v>
      </c>
      <c r="S366">
        <v>77</v>
      </c>
      <c r="T366">
        <v>378</v>
      </c>
      <c r="U366">
        <v>24</v>
      </c>
      <c r="V366">
        <v>111</v>
      </c>
      <c r="W366">
        <v>74</v>
      </c>
      <c r="X366" t="s">
        <v>30</v>
      </c>
      <c r="Y366" t="s">
        <v>29</v>
      </c>
      <c r="Z366" t="s">
        <v>29</v>
      </c>
    </row>
    <row r="367" spans="1:26" ht="30" customHeight="1">
      <c r="A367">
        <v>2107835365</v>
      </c>
      <c r="B367">
        <f>COUNTIF(A:A,A367)</f>
        <v>1</v>
      </c>
      <c r="C367" s="1">
        <f t="shared" ca="1" si="27"/>
        <v>30518</v>
      </c>
      <c r="D367" s="1">
        <v>44806</v>
      </c>
      <c r="E367" s="4">
        <f ca="1">DATEDIF(Table1[[#This Row],[DOB]],Table1[[#This Row],[eventDate]],"Y")</f>
        <v>39</v>
      </c>
      <c r="F367" s="4" t="str">
        <f t="shared" si="28"/>
        <v>Woman</v>
      </c>
      <c r="G367" s="4">
        <f ca="1">_xlfn.DAYS(TODAY(),Table1[[#This Row],[eventDate]])</f>
        <v>1307</v>
      </c>
      <c r="H367" t="s">
        <v>32</v>
      </c>
      <c r="I367" t="s">
        <v>28</v>
      </c>
      <c r="J367" t="s">
        <v>29</v>
      </c>
      <c r="K367" s="1">
        <v>45127</v>
      </c>
      <c r="L367">
        <f t="shared" si="29"/>
        <v>321</v>
      </c>
      <c r="M367">
        <f>IF(Table1[[#This Row],[Alive]]="No",Table1[[#This Row],[daysDeath]],Table1[[#This Row],[daysSince]])</f>
        <v>321</v>
      </c>
      <c r="N367">
        <v>89</v>
      </c>
      <c r="O367">
        <v>2.2000000000000002</v>
      </c>
      <c r="P367">
        <v>95</v>
      </c>
      <c r="Q367">
        <v>12</v>
      </c>
      <c r="R367">
        <v>1.8</v>
      </c>
      <c r="S367">
        <v>47</v>
      </c>
      <c r="T367">
        <v>250</v>
      </c>
      <c r="U367">
        <v>32</v>
      </c>
      <c r="V367">
        <v>5</v>
      </c>
      <c r="W367">
        <v>92</v>
      </c>
      <c r="X367" t="s">
        <v>30</v>
      </c>
      <c r="Y367" t="s">
        <v>29</v>
      </c>
      <c r="Z367" t="s">
        <v>29</v>
      </c>
    </row>
    <row r="368" spans="1:26" ht="30" customHeight="1">
      <c r="A368">
        <v>1410546462</v>
      </c>
      <c r="B368">
        <f>COUNTIF(A:A,A368)</f>
        <v>1</v>
      </c>
      <c r="C368" s="1">
        <f t="shared" ca="1" si="27"/>
        <v>20011</v>
      </c>
      <c r="D368" s="1">
        <v>44809</v>
      </c>
      <c r="E368" s="4">
        <f ca="1">DATEDIF(Table1[[#This Row],[DOB]],Table1[[#This Row],[eventDate]],"Y")</f>
        <v>67</v>
      </c>
      <c r="F368" s="4" t="str">
        <f t="shared" si="28"/>
        <v>Woman</v>
      </c>
      <c r="G368" s="4">
        <f ca="1">_xlfn.DAYS(TODAY(),Table1[[#This Row],[eventDate]])</f>
        <v>1304</v>
      </c>
      <c r="H368" t="s">
        <v>32</v>
      </c>
      <c r="I368" t="s">
        <v>34</v>
      </c>
      <c r="J368" t="s">
        <v>29</v>
      </c>
      <c r="K368" s="1">
        <v>44846</v>
      </c>
      <c r="L368">
        <f t="shared" si="29"/>
        <v>37</v>
      </c>
      <c r="M368">
        <f>IF(Table1[[#This Row],[Alive]]="No",Table1[[#This Row],[daysDeath]],Table1[[#This Row],[daysSince]])</f>
        <v>37</v>
      </c>
      <c r="N368">
        <v>112</v>
      </c>
      <c r="O368">
        <v>12.7</v>
      </c>
      <c r="P368">
        <v>524</v>
      </c>
      <c r="Q368">
        <v>10</v>
      </c>
      <c r="R368">
        <v>2.1</v>
      </c>
      <c r="S368">
        <v>36</v>
      </c>
      <c r="T368">
        <v>519</v>
      </c>
      <c r="U368">
        <v>19</v>
      </c>
      <c r="V368">
        <v>20</v>
      </c>
      <c r="W368">
        <v>52.9</v>
      </c>
      <c r="X368" t="s">
        <v>30</v>
      </c>
      <c r="Y368" t="s">
        <v>29</v>
      </c>
      <c r="Z368" t="s">
        <v>47</v>
      </c>
    </row>
    <row r="369" spans="1:27" ht="30" customHeight="1">
      <c r="A369">
        <v>1109556225</v>
      </c>
      <c r="B369">
        <f>COUNTIF(A:A,A369)</f>
        <v>1</v>
      </c>
      <c r="C369" s="1">
        <f t="shared" ca="1" si="27"/>
        <v>20343</v>
      </c>
      <c r="D369" s="1">
        <v>44816</v>
      </c>
      <c r="E369" s="4">
        <f ca="1">DATEDIF(Table1[[#This Row],[DOB]],Table1[[#This Row],[eventDate]],"Y")</f>
        <v>67</v>
      </c>
      <c r="F369" s="4" t="str">
        <f t="shared" si="28"/>
        <v>Woman</v>
      </c>
      <c r="G369" s="4">
        <f ca="1">_xlfn.DAYS(TODAY(),Table1[[#This Row],[eventDate]])</f>
        <v>1297</v>
      </c>
      <c r="H369" t="s">
        <v>32</v>
      </c>
      <c r="I369" t="s">
        <v>34</v>
      </c>
      <c r="J369" t="s">
        <v>29</v>
      </c>
      <c r="K369" s="1">
        <v>44956</v>
      </c>
      <c r="L369">
        <f t="shared" si="29"/>
        <v>140</v>
      </c>
      <c r="M369">
        <f>IF(Table1[[#This Row],[Alive]]="No",Table1[[#This Row],[daysDeath]],Table1[[#This Row],[daysSince]])</f>
        <v>140</v>
      </c>
      <c r="N369">
        <v>119</v>
      </c>
      <c r="O369">
        <v>4.7</v>
      </c>
      <c r="P369">
        <v>313</v>
      </c>
      <c r="Q369">
        <v>13</v>
      </c>
      <c r="R369">
        <v>4.0999999999999996</v>
      </c>
      <c r="S369">
        <v>70</v>
      </c>
      <c r="T369">
        <v>378</v>
      </c>
      <c r="U369">
        <v>24</v>
      </c>
      <c r="V369">
        <v>4</v>
      </c>
      <c r="W369">
        <v>56</v>
      </c>
      <c r="X369" t="s">
        <v>30</v>
      </c>
      <c r="Y369" t="s">
        <v>31</v>
      </c>
      <c r="Z369" t="s">
        <v>29</v>
      </c>
    </row>
    <row r="370" spans="1:27" ht="30" customHeight="1">
      <c r="A370">
        <v>2310516333</v>
      </c>
      <c r="B370">
        <f>COUNTIF(A:A,A370)</f>
        <v>1</v>
      </c>
      <c r="C370" s="1">
        <f t="shared" ca="1" si="27"/>
        <v>18924</v>
      </c>
      <c r="D370" s="1">
        <v>44838</v>
      </c>
      <c r="E370" s="4">
        <f ca="1">DATEDIF(Table1[[#This Row],[DOB]],Table1[[#This Row],[eventDate]],"Y")</f>
        <v>70</v>
      </c>
      <c r="F370" s="4" t="str">
        <f t="shared" si="28"/>
        <v>Man</v>
      </c>
      <c r="G370" s="4">
        <f ca="1">_xlfn.DAYS(TODAY(),Table1[[#This Row],[eventDate]])</f>
        <v>1275</v>
      </c>
      <c r="H370" t="s">
        <v>32</v>
      </c>
      <c r="I370" t="s">
        <v>28</v>
      </c>
      <c r="J370" t="s">
        <v>29</v>
      </c>
      <c r="K370" s="1">
        <v>44862</v>
      </c>
      <c r="L370">
        <f t="shared" si="29"/>
        <v>24</v>
      </c>
      <c r="M370">
        <f>IF(Table1[[#This Row],[Alive]]="No",Table1[[#This Row],[daysDeath]],Table1[[#This Row],[daysSince]])</f>
        <v>24</v>
      </c>
      <c r="N370">
        <v>100</v>
      </c>
      <c r="O370">
        <v>17.8</v>
      </c>
      <c r="P370">
        <v>464</v>
      </c>
      <c r="Q370">
        <v>13</v>
      </c>
      <c r="R370">
        <v>3.9</v>
      </c>
      <c r="S370">
        <v>59</v>
      </c>
      <c r="T370">
        <v>195</v>
      </c>
      <c r="U370">
        <v>23</v>
      </c>
      <c r="V370">
        <v>61</v>
      </c>
      <c r="W370">
        <v>72</v>
      </c>
      <c r="X370" t="s">
        <v>30</v>
      </c>
      <c r="Y370" t="s">
        <v>29</v>
      </c>
      <c r="Z370" t="s">
        <v>29</v>
      </c>
      <c r="AA370" t="s">
        <v>48</v>
      </c>
    </row>
    <row r="371" spans="1:27" ht="30" customHeight="1">
      <c r="A371">
        <v>108586243</v>
      </c>
      <c r="B371">
        <f>COUNTIF(A:A,A371)</f>
        <v>1</v>
      </c>
      <c r="C371" s="1">
        <f t="shared" ca="1" si="27"/>
        <v>21398</v>
      </c>
      <c r="D371" s="1">
        <v>44849</v>
      </c>
      <c r="E371" s="4">
        <f ca="1">DATEDIF(Table1[[#This Row],[DOB]],Table1[[#This Row],[eventDate]],"Y")</f>
        <v>64</v>
      </c>
      <c r="F371" s="4" t="str">
        <f t="shared" si="28"/>
        <v>Woman</v>
      </c>
      <c r="G371" s="4">
        <f ca="1">_xlfn.DAYS(TODAY(),Table1[[#This Row],[eventDate]])</f>
        <v>1264</v>
      </c>
      <c r="H371" t="s">
        <v>32</v>
      </c>
      <c r="I371" t="s">
        <v>28</v>
      </c>
      <c r="J371" t="s">
        <v>29</v>
      </c>
      <c r="K371" s="1">
        <v>44876</v>
      </c>
      <c r="L371">
        <f t="shared" si="29"/>
        <v>27</v>
      </c>
      <c r="M371">
        <f>IF(Table1[[#This Row],[Alive]]="No",Table1[[#This Row],[daysDeath]],Table1[[#This Row],[daysSince]])</f>
        <v>27</v>
      </c>
      <c r="N371">
        <v>131</v>
      </c>
      <c r="O371">
        <v>12.1</v>
      </c>
      <c r="P371">
        <v>366</v>
      </c>
      <c r="Q371">
        <v>18</v>
      </c>
      <c r="R371">
        <v>2.5</v>
      </c>
      <c r="S371">
        <v>59</v>
      </c>
      <c r="T371">
        <v>383</v>
      </c>
      <c r="U371">
        <v>19</v>
      </c>
      <c r="V371">
        <v>70</v>
      </c>
      <c r="W371">
        <v>104</v>
      </c>
      <c r="X371" t="s">
        <v>30</v>
      </c>
      <c r="Y371" t="s">
        <v>29</v>
      </c>
      <c r="Z371" t="s">
        <v>29</v>
      </c>
    </row>
    <row r="372" spans="1:27" ht="30" customHeight="1">
      <c r="A372">
        <v>306426129</v>
      </c>
      <c r="B372">
        <f>COUNTIF(A:A,A372)</f>
        <v>1</v>
      </c>
      <c r="C372" s="1">
        <f t="shared" ca="1" si="27"/>
        <v>15495</v>
      </c>
      <c r="D372" s="1">
        <v>44852</v>
      </c>
      <c r="E372" s="4">
        <f ca="1">DATEDIF(Table1[[#This Row],[DOB]],Table1[[#This Row],[eventDate]],"Y")</f>
        <v>80</v>
      </c>
      <c r="F372" s="4" t="str">
        <f t="shared" si="28"/>
        <v>Woman</v>
      </c>
      <c r="G372" s="4">
        <f ca="1">_xlfn.DAYS(TODAY(),Table1[[#This Row],[eventDate]])</f>
        <v>1261</v>
      </c>
      <c r="H372" t="s">
        <v>32</v>
      </c>
      <c r="I372" t="s">
        <v>28</v>
      </c>
      <c r="J372" t="s">
        <v>29</v>
      </c>
      <c r="K372" s="1">
        <v>44907</v>
      </c>
      <c r="L372">
        <f t="shared" si="29"/>
        <v>55</v>
      </c>
      <c r="M372">
        <f>IF(Table1[[#This Row],[Alive]]="No",Table1[[#This Row],[daysDeath]],Table1[[#This Row],[daysSince]])</f>
        <v>55</v>
      </c>
      <c r="N372">
        <v>118</v>
      </c>
      <c r="O372">
        <v>12</v>
      </c>
      <c r="P372">
        <v>328</v>
      </c>
      <c r="Q372">
        <v>11</v>
      </c>
      <c r="R372">
        <v>5.2</v>
      </c>
      <c r="S372">
        <v>74</v>
      </c>
      <c r="T372">
        <v>419</v>
      </c>
      <c r="U372">
        <v>17</v>
      </c>
      <c r="V372">
        <v>75</v>
      </c>
      <c r="W372">
        <v>57.6</v>
      </c>
      <c r="X372" t="s">
        <v>30</v>
      </c>
      <c r="Y372" t="s">
        <v>31</v>
      </c>
      <c r="Z372" t="s">
        <v>29</v>
      </c>
    </row>
    <row r="373" spans="1:27" ht="30" customHeight="1">
      <c r="A373">
        <v>1712403095</v>
      </c>
      <c r="B373">
        <f>COUNTIF(A:A,A373)</f>
        <v>1</v>
      </c>
      <c r="C373" s="1">
        <f t="shared" ca="1" si="27"/>
        <v>14962</v>
      </c>
      <c r="D373" s="1">
        <v>44853</v>
      </c>
      <c r="E373" s="4">
        <f ca="1">DATEDIF(Table1[[#This Row],[DOB]],Table1[[#This Row],[eventDate]],"Y")</f>
        <v>81</v>
      </c>
      <c r="F373" s="4" t="str">
        <f t="shared" si="28"/>
        <v>Man</v>
      </c>
      <c r="G373" s="4">
        <f ca="1">_xlfn.DAYS(TODAY(),Table1[[#This Row],[eventDate]])</f>
        <v>1260</v>
      </c>
      <c r="H373" t="s">
        <v>27</v>
      </c>
      <c r="I373" t="s">
        <v>34</v>
      </c>
      <c r="J373" t="s">
        <v>29</v>
      </c>
      <c r="K373" s="1">
        <v>45924</v>
      </c>
      <c r="L373">
        <f t="shared" si="29"/>
        <v>1071</v>
      </c>
      <c r="M373">
        <f>IF(Table1[[#This Row],[Alive]]="No",Table1[[#This Row],[daysDeath]],Table1[[#This Row],[daysSince]])</f>
        <v>1071</v>
      </c>
      <c r="N373">
        <v>137</v>
      </c>
      <c r="O373">
        <v>6.3</v>
      </c>
      <c r="P373">
        <v>250</v>
      </c>
      <c r="Q373">
        <v>11</v>
      </c>
      <c r="R373">
        <v>13.1</v>
      </c>
      <c r="S373">
        <v>97</v>
      </c>
      <c r="T373">
        <v>428</v>
      </c>
      <c r="U373">
        <v>29</v>
      </c>
      <c r="V373">
        <v>32</v>
      </c>
      <c r="X373" t="s">
        <v>33</v>
      </c>
      <c r="Y373" t="s">
        <v>31</v>
      </c>
      <c r="Z373" t="s">
        <v>29</v>
      </c>
      <c r="AA373" t="s">
        <v>49</v>
      </c>
    </row>
    <row r="374" spans="1:27" ht="30" customHeight="1">
      <c r="A374">
        <v>2703536283</v>
      </c>
      <c r="B374">
        <f>COUNTIF(A:A,A374)</f>
        <v>1</v>
      </c>
      <c r="C374" s="1">
        <f t="shared" ca="1" si="27"/>
        <v>19445</v>
      </c>
      <c r="D374" s="1">
        <v>44854</v>
      </c>
      <c r="E374" s="4">
        <f ca="1">DATEDIF(Table1[[#This Row],[DOB]],Table1[[#This Row],[eventDate]],"Y")</f>
        <v>69</v>
      </c>
      <c r="F374" s="4" t="str">
        <f t="shared" si="28"/>
        <v>Woman</v>
      </c>
      <c r="G374" s="4">
        <f ca="1">_xlfn.DAYS(TODAY(),Table1[[#This Row],[eventDate]])</f>
        <v>1259</v>
      </c>
      <c r="H374" t="s">
        <v>32</v>
      </c>
      <c r="I374" t="s">
        <v>28</v>
      </c>
      <c r="J374" t="s">
        <v>29</v>
      </c>
      <c r="K374" s="1">
        <v>44889</v>
      </c>
      <c r="L374">
        <f t="shared" si="29"/>
        <v>35</v>
      </c>
      <c r="M374">
        <f>IF(Table1[[#This Row],[Alive]]="No",Table1[[#This Row],[daysDeath]],Table1[[#This Row],[daysSince]])</f>
        <v>35</v>
      </c>
      <c r="N374">
        <v>106</v>
      </c>
      <c r="O374">
        <v>8</v>
      </c>
      <c r="P374">
        <v>378</v>
      </c>
      <c r="Q374">
        <v>10</v>
      </c>
      <c r="R374">
        <v>5.6</v>
      </c>
      <c r="S374">
        <v>63</v>
      </c>
      <c r="T374">
        <v>150</v>
      </c>
      <c r="U374">
        <v>26</v>
      </c>
      <c r="V374">
        <v>16</v>
      </c>
      <c r="W374">
        <v>46.7</v>
      </c>
      <c r="X374" t="s">
        <v>30</v>
      </c>
      <c r="Y374" t="s">
        <v>29</v>
      </c>
      <c r="Z374" t="s">
        <v>29</v>
      </c>
    </row>
    <row r="375" spans="1:27" ht="30" customHeight="1">
      <c r="A375">
        <v>204506271</v>
      </c>
      <c r="B375">
        <f>COUNTIF(A:A,A375)</f>
        <v>1</v>
      </c>
      <c r="C375" s="1">
        <f t="shared" ca="1" si="27"/>
        <v>18355</v>
      </c>
      <c r="D375" s="1">
        <v>44860</v>
      </c>
      <c r="E375" s="4">
        <f ca="1">DATEDIF(Table1[[#This Row],[DOB]],Table1[[#This Row],[eventDate]],"Y")</f>
        <v>72</v>
      </c>
      <c r="F375" s="4" t="str">
        <f t="shared" si="28"/>
        <v>Man</v>
      </c>
      <c r="G375" s="4">
        <f ca="1">_xlfn.DAYS(TODAY(),Table1[[#This Row],[eventDate]])</f>
        <v>1253</v>
      </c>
      <c r="H375" t="s">
        <v>32</v>
      </c>
      <c r="I375" t="s">
        <v>34</v>
      </c>
      <c r="J375" t="s">
        <v>29</v>
      </c>
      <c r="K375" s="1">
        <v>45284</v>
      </c>
      <c r="L375">
        <f t="shared" si="29"/>
        <v>424</v>
      </c>
      <c r="M375">
        <f>IF(Table1[[#This Row],[Alive]]="No",Table1[[#This Row],[daysDeath]],Table1[[#This Row],[daysSince]])</f>
        <v>424</v>
      </c>
      <c r="N375">
        <v>138</v>
      </c>
      <c r="O375">
        <v>11.9</v>
      </c>
      <c r="P375">
        <v>251</v>
      </c>
      <c r="Q375">
        <v>12</v>
      </c>
      <c r="R375">
        <v>27.3</v>
      </c>
      <c r="S375">
        <v>128</v>
      </c>
      <c r="T375">
        <v>84</v>
      </c>
      <c r="U375">
        <v>29</v>
      </c>
      <c r="V375">
        <v>7</v>
      </c>
      <c r="W375">
        <v>79</v>
      </c>
      <c r="X375" t="s">
        <v>30</v>
      </c>
      <c r="Y375" t="s">
        <v>31</v>
      </c>
      <c r="Z375" t="s">
        <v>29</v>
      </c>
    </row>
    <row r="376" spans="1:27" ht="30" customHeight="1">
      <c r="A376">
        <v>708746012</v>
      </c>
      <c r="B376">
        <f>COUNTIF(A:A,A376)</f>
        <v>1</v>
      </c>
      <c r="C376" s="1">
        <f t="shared" ref="C376:C413" ca="1" si="30">DATE(
    IF(VALUE(MID(TEXT(A376,"0000000000"),5,2)) &gt; VALUE(TEXT(TODAY(),"YY")),
       1900 + VALUE(MID(TEXT(A376,"0000000000"),5,2)),
       2000 + VALUE(MID(TEXT(A376,"0000000000"),5,2))
    ),
    VALUE(MID(TEXT(A376,"0000000000"),3,2)),
    VALUE(LEFT(TEXT(A376,"0000000000"),2))
)</f>
        <v>27248</v>
      </c>
      <c r="D376" s="1">
        <v>44871</v>
      </c>
      <c r="E376" s="4">
        <f ca="1">DATEDIF(Table1[[#This Row],[DOB]],Table1[[#This Row],[eventDate]],"Y")</f>
        <v>48</v>
      </c>
      <c r="F376" s="4" t="str">
        <f t="shared" ref="F376:F413" si="31">IF(MOD(VALUE(MID(TEXT(A376,"0000000000"),9,1)),2)=0,"Woman","Man")</f>
        <v>Man</v>
      </c>
      <c r="G376" s="4">
        <f ca="1">_xlfn.DAYS(TODAY(),Table1[[#This Row],[eventDate]])</f>
        <v>1242</v>
      </c>
      <c r="H376" t="s">
        <v>32</v>
      </c>
      <c r="I376" t="s">
        <v>34</v>
      </c>
      <c r="J376" t="s">
        <v>31</v>
      </c>
      <c r="L376" t="str">
        <f t="shared" ref="L376:L413" si="32">IF(J376="No",_xlfn.DAYS(K376,D376),"")</f>
        <v/>
      </c>
      <c r="M376">
        <f ca="1">IF(Table1[[#This Row],[Alive]]="No",Table1[[#This Row],[daysDeath]],Table1[[#This Row],[daysSince]])</f>
        <v>1242</v>
      </c>
      <c r="N376">
        <v>107</v>
      </c>
      <c r="O376">
        <v>15.2</v>
      </c>
      <c r="P376">
        <v>204</v>
      </c>
      <c r="Q376">
        <v>16</v>
      </c>
      <c r="R376">
        <v>6.5</v>
      </c>
      <c r="S376">
        <v>54</v>
      </c>
      <c r="T376">
        <v>298</v>
      </c>
      <c r="U376">
        <v>18</v>
      </c>
      <c r="V376">
        <v>188</v>
      </c>
      <c r="W376">
        <v>83.9</v>
      </c>
      <c r="X376" t="s">
        <v>33</v>
      </c>
      <c r="Y376" t="s">
        <v>29</v>
      </c>
      <c r="Z376" t="s">
        <v>29</v>
      </c>
    </row>
    <row r="377" spans="1:27" ht="30" customHeight="1">
      <c r="A377">
        <v>2805596366</v>
      </c>
      <c r="B377">
        <f>COUNTIF(A:A,A377)</f>
        <v>1</v>
      </c>
      <c r="C377" s="1">
        <f t="shared" ca="1" si="30"/>
        <v>21698</v>
      </c>
      <c r="D377" s="1">
        <v>44882</v>
      </c>
      <c r="E377" s="4">
        <f ca="1">DATEDIF(Table1[[#This Row],[DOB]],Table1[[#This Row],[eventDate]],"Y")</f>
        <v>63</v>
      </c>
      <c r="F377" s="4" t="str">
        <f t="shared" si="31"/>
        <v>Woman</v>
      </c>
      <c r="G377" s="4">
        <f ca="1">_xlfn.DAYS(TODAY(),Table1[[#This Row],[eventDate]])</f>
        <v>1231</v>
      </c>
      <c r="H377" t="s">
        <v>38</v>
      </c>
      <c r="I377" t="s">
        <v>28</v>
      </c>
      <c r="J377" t="s">
        <v>29</v>
      </c>
      <c r="K377" s="1">
        <v>45299</v>
      </c>
      <c r="L377">
        <f t="shared" si="32"/>
        <v>417</v>
      </c>
      <c r="M377">
        <f>IF(Table1[[#This Row],[Alive]]="No",Table1[[#This Row],[daysDeath]],Table1[[#This Row],[daysSince]])</f>
        <v>417</v>
      </c>
      <c r="N377">
        <v>99</v>
      </c>
      <c r="O377">
        <v>5.7</v>
      </c>
      <c r="P377">
        <v>342</v>
      </c>
      <c r="Q377">
        <v>10</v>
      </c>
      <c r="R377">
        <v>5.4</v>
      </c>
      <c r="S377">
        <v>67</v>
      </c>
      <c r="T377">
        <v>96</v>
      </c>
      <c r="U377">
        <v>27</v>
      </c>
      <c r="V377">
        <v>11</v>
      </c>
      <c r="W377">
        <v>53</v>
      </c>
      <c r="X377" t="s">
        <v>30</v>
      </c>
      <c r="Y377" t="s">
        <v>29</v>
      </c>
      <c r="Z377" t="s">
        <v>29</v>
      </c>
    </row>
    <row r="378" spans="1:27" ht="30" customHeight="1">
      <c r="A378">
        <v>401473716</v>
      </c>
      <c r="B378">
        <f>COUNTIF(A:A,A378)</f>
        <v>1</v>
      </c>
      <c r="C378" s="1">
        <f t="shared" ca="1" si="30"/>
        <v>17171</v>
      </c>
      <c r="D378" s="1">
        <v>44887</v>
      </c>
      <c r="E378" s="4">
        <f ca="1">DATEDIF(Table1[[#This Row],[DOB]],Table1[[#This Row],[eventDate]],"Y")</f>
        <v>75</v>
      </c>
      <c r="F378" s="4" t="str">
        <f t="shared" si="31"/>
        <v>Man</v>
      </c>
      <c r="G378" s="4">
        <f ca="1">_xlfn.DAYS(TODAY(),Table1[[#This Row],[eventDate]])</f>
        <v>1226</v>
      </c>
      <c r="H378" t="s">
        <v>27</v>
      </c>
      <c r="I378" t="s">
        <v>28</v>
      </c>
      <c r="J378" t="s">
        <v>29</v>
      </c>
      <c r="K378" s="1">
        <v>45132</v>
      </c>
      <c r="L378">
        <f t="shared" si="32"/>
        <v>245</v>
      </c>
      <c r="M378">
        <f>IF(Table1[[#This Row],[Alive]]="No",Table1[[#This Row],[daysDeath]],Table1[[#This Row],[daysSince]])</f>
        <v>245</v>
      </c>
      <c r="N378">
        <v>124</v>
      </c>
      <c r="O378">
        <v>19.2</v>
      </c>
      <c r="P378">
        <v>311</v>
      </c>
      <c r="Q378">
        <v>15</v>
      </c>
      <c r="R378">
        <v>4.2</v>
      </c>
      <c r="S378">
        <v>67</v>
      </c>
      <c r="T378">
        <v>238</v>
      </c>
      <c r="U378">
        <v>22</v>
      </c>
      <c r="V378">
        <v>240</v>
      </c>
      <c r="W378">
        <v>73</v>
      </c>
      <c r="X378" t="s">
        <v>30</v>
      </c>
      <c r="Y378" t="s">
        <v>31</v>
      </c>
      <c r="Z378" t="s">
        <v>29</v>
      </c>
    </row>
    <row r="379" spans="1:27" ht="30" customHeight="1">
      <c r="A379">
        <v>606585133</v>
      </c>
      <c r="B379">
        <f>COUNTIF(A:A,A379)</f>
        <v>1</v>
      </c>
      <c r="C379" s="1">
        <f t="shared" ca="1" si="30"/>
        <v>21342</v>
      </c>
      <c r="D379" s="1">
        <v>44896</v>
      </c>
      <c r="E379" s="4">
        <f ca="1">DATEDIF(Table1[[#This Row],[DOB]],Table1[[#This Row],[eventDate]],"Y")</f>
        <v>64</v>
      </c>
      <c r="F379" s="4" t="str">
        <f t="shared" si="31"/>
        <v>Man</v>
      </c>
      <c r="G379" s="4">
        <f ca="1">_xlfn.DAYS(TODAY(),Table1[[#This Row],[eventDate]])</f>
        <v>1217</v>
      </c>
      <c r="H379" t="s">
        <v>27</v>
      </c>
      <c r="I379" t="s">
        <v>28</v>
      </c>
      <c r="J379" t="s">
        <v>29</v>
      </c>
      <c r="K379" s="1">
        <v>44931</v>
      </c>
      <c r="L379">
        <f t="shared" si="32"/>
        <v>35</v>
      </c>
      <c r="M379">
        <f>IF(Table1[[#This Row],[Alive]]="No",Table1[[#This Row],[daysDeath]],Table1[[#This Row],[daysSince]])</f>
        <v>35</v>
      </c>
      <c r="N379">
        <v>108</v>
      </c>
      <c r="O379">
        <v>7.7</v>
      </c>
      <c r="P379">
        <v>315</v>
      </c>
      <c r="Q379">
        <v>15</v>
      </c>
      <c r="R379">
        <v>6</v>
      </c>
      <c r="S379">
        <v>74</v>
      </c>
      <c r="T379">
        <v>469</v>
      </c>
      <c r="U379">
        <v>17</v>
      </c>
      <c r="V379">
        <v>97</v>
      </c>
      <c r="W379">
        <v>82</v>
      </c>
      <c r="X379" t="s">
        <v>30</v>
      </c>
      <c r="Y379" t="s">
        <v>31</v>
      </c>
      <c r="Z379" t="s">
        <v>31</v>
      </c>
    </row>
    <row r="380" spans="1:27" ht="30" customHeight="1">
      <c r="A380">
        <v>2708613219</v>
      </c>
      <c r="B380">
        <f>COUNTIF(A:A,A380)</f>
        <v>1</v>
      </c>
      <c r="C380" s="1">
        <f t="shared" ca="1" si="30"/>
        <v>22520</v>
      </c>
      <c r="D380" s="1">
        <v>44901</v>
      </c>
      <c r="E380" s="4">
        <f ca="1">DATEDIF(Table1[[#This Row],[DOB]],Table1[[#This Row],[eventDate]],"Y")</f>
        <v>61</v>
      </c>
      <c r="F380" s="4" t="str">
        <f t="shared" si="31"/>
        <v>Man</v>
      </c>
      <c r="G380" s="4">
        <f ca="1">_xlfn.DAYS(TODAY(),Table1[[#This Row],[eventDate]])</f>
        <v>1212</v>
      </c>
      <c r="H380" t="s">
        <v>32</v>
      </c>
      <c r="I380" t="s">
        <v>34</v>
      </c>
      <c r="J380" t="s">
        <v>29</v>
      </c>
      <c r="K380" s="1">
        <v>44908</v>
      </c>
      <c r="L380">
        <f t="shared" si="32"/>
        <v>7</v>
      </c>
      <c r="M380">
        <f>IF(Table1[[#This Row],[Alive]]="No",Table1[[#This Row],[daysDeath]],Table1[[#This Row],[daysSince]])</f>
        <v>7</v>
      </c>
      <c r="N380">
        <v>83</v>
      </c>
      <c r="O380">
        <v>12.3</v>
      </c>
      <c r="P380">
        <v>373</v>
      </c>
      <c r="Q380">
        <v>15</v>
      </c>
      <c r="R380">
        <v>7.5</v>
      </c>
      <c r="S380">
        <v>71</v>
      </c>
      <c r="T380">
        <v>266</v>
      </c>
      <c r="U380">
        <v>13</v>
      </c>
      <c r="V380">
        <v>191</v>
      </c>
      <c r="W380">
        <v>63</v>
      </c>
      <c r="X380" t="s">
        <v>30</v>
      </c>
      <c r="Y380" t="s">
        <v>29</v>
      </c>
      <c r="Z380" t="s">
        <v>31</v>
      </c>
    </row>
    <row r="381" spans="1:27" ht="30" customHeight="1">
      <c r="A381">
        <v>3008596029</v>
      </c>
      <c r="B381">
        <f>COUNTIF(A:A,A381)</f>
        <v>1</v>
      </c>
      <c r="C381" s="1">
        <f t="shared" ca="1" si="30"/>
        <v>21792</v>
      </c>
      <c r="D381" s="1">
        <v>44901</v>
      </c>
      <c r="E381" s="4">
        <f ca="1">DATEDIF(Table1[[#This Row],[DOB]],Table1[[#This Row],[eventDate]],"Y")</f>
        <v>63</v>
      </c>
      <c r="F381" s="4" t="str">
        <f t="shared" si="31"/>
        <v>Woman</v>
      </c>
      <c r="G381" s="4">
        <f ca="1">_xlfn.DAYS(TODAY(),Table1[[#This Row],[eventDate]])</f>
        <v>1212</v>
      </c>
      <c r="H381" t="s">
        <v>27</v>
      </c>
      <c r="I381" t="s">
        <v>28</v>
      </c>
      <c r="J381" t="s">
        <v>29</v>
      </c>
      <c r="K381" s="1">
        <v>45240</v>
      </c>
      <c r="L381">
        <f t="shared" si="32"/>
        <v>339</v>
      </c>
      <c r="M381">
        <f>IF(Table1[[#This Row],[Alive]]="No",Table1[[#This Row],[daysDeath]],Table1[[#This Row],[daysSince]])</f>
        <v>339</v>
      </c>
      <c r="N381">
        <v>137</v>
      </c>
      <c r="O381">
        <v>8.6999999999999993</v>
      </c>
      <c r="P381">
        <v>288</v>
      </c>
      <c r="Q381">
        <v>12</v>
      </c>
      <c r="R381">
        <v>3.7</v>
      </c>
      <c r="S381">
        <v>45</v>
      </c>
      <c r="T381">
        <v>368</v>
      </c>
      <c r="U381">
        <v>25</v>
      </c>
      <c r="V381">
        <v>26</v>
      </c>
      <c r="W381">
        <v>80</v>
      </c>
      <c r="X381" t="s">
        <v>30</v>
      </c>
      <c r="Y381" t="s">
        <v>29</v>
      </c>
      <c r="Z381" t="s">
        <v>29</v>
      </c>
    </row>
    <row r="382" spans="1:27" ht="30" customHeight="1">
      <c r="A382">
        <v>1601526091</v>
      </c>
      <c r="B382">
        <f>COUNTIF(A:A,A382)</f>
        <v>1</v>
      </c>
      <c r="C382" s="1">
        <f t="shared" ca="1" si="30"/>
        <v>19009</v>
      </c>
      <c r="D382" s="1">
        <v>44945</v>
      </c>
      <c r="E382" s="4">
        <f ca="1">DATEDIF(Table1[[#This Row],[DOB]],Table1[[#This Row],[eventDate]],"Y")</f>
        <v>71</v>
      </c>
      <c r="F382" s="4" t="str">
        <f t="shared" si="31"/>
        <v>Man</v>
      </c>
      <c r="G382" s="4">
        <f ca="1">_xlfn.DAYS(TODAY(),Table1[[#This Row],[eventDate]])</f>
        <v>1168</v>
      </c>
      <c r="H382" t="s">
        <v>27</v>
      </c>
      <c r="I382" t="s">
        <v>28</v>
      </c>
      <c r="J382" t="s">
        <v>29</v>
      </c>
      <c r="K382" s="1">
        <v>45074</v>
      </c>
      <c r="L382">
        <f t="shared" si="32"/>
        <v>129</v>
      </c>
      <c r="M382">
        <f>IF(Table1[[#This Row],[Alive]]="No",Table1[[#This Row],[daysDeath]],Table1[[#This Row],[daysSince]])</f>
        <v>129</v>
      </c>
      <c r="N382">
        <v>87</v>
      </c>
      <c r="O382">
        <v>11.9</v>
      </c>
      <c r="P382">
        <v>271</v>
      </c>
      <c r="Q382">
        <v>12</v>
      </c>
      <c r="R382">
        <v>4.7</v>
      </c>
      <c r="S382">
        <v>64</v>
      </c>
      <c r="T382">
        <v>164</v>
      </c>
      <c r="U382">
        <v>26</v>
      </c>
      <c r="V382">
        <v>69</v>
      </c>
      <c r="W382">
        <v>70</v>
      </c>
      <c r="X382" t="s">
        <v>30</v>
      </c>
      <c r="Y382" t="s">
        <v>31</v>
      </c>
      <c r="Z382" t="s">
        <v>29</v>
      </c>
    </row>
    <row r="383" spans="1:27" ht="30" customHeight="1">
      <c r="A383">
        <v>2712446291</v>
      </c>
      <c r="B383">
        <f>COUNTIF(A:A,A383)</f>
        <v>1</v>
      </c>
      <c r="C383" s="1">
        <f t="shared" ca="1" si="30"/>
        <v>16433</v>
      </c>
      <c r="D383" s="1">
        <v>44945</v>
      </c>
      <c r="E383" s="4">
        <f ca="1">DATEDIF(Table1[[#This Row],[DOB]],Table1[[#This Row],[eventDate]],"Y")</f>
        <v>78</v>
      </c>
      <c r="F383" s="4" t="str">
        <f t="shared" si="31"/>
        <v>Man</v>
      </c>
      <c r="G383" s="4">
        <f ca="1">_xlfn.DAYS(TODAY(),Table1[[#This Row],[eventDate]])</f>
        <v>1168</v>
      </c>
      <c r="H383" t="s">
        <v>32</v>
      </c>
      <c r="I383" t="s">
        <v>28</v>
      </c>
      <c r="J383" t="s">
        <v>29</v>
      </c>
      <c r="K383" s="1">
        <v>45990</v>
      </c>
      <c r="L383">
        <f t="shared" si="32"/>
        <v>1045</v>
      </c>
      <c r="M383">
        <f>IF(Table1[[#This Row],[Alive]]="No",Table1[[#This Row],[daysDeath]],Table1[[#This Row],[daysSince]])</f>
        <v>1045</v>
      </c>
      <c r="N383">
        <v>128</v>
      </c>
      <c r="O383">
        <v>7.4</v>
      </c>
      <c r="P383">
        <v>269</v>
      </c>
      <c r="Q383">
        <v>9</v>
      </c>
      <c r="R383">
        <v>5.8</v>
      </c>
      <c r="S383">
        <v>107</v>
      </c>
      <c r="T383">
        <v>246</v>
      </c>
      <c r="U383">
        <v>32</v>
      </c>
      <c r="V383">
        <v>4</v>
      </c>
      <c r="W383">
        <v>66</v>
      </c>
      <c r="X383" t="s">
        <v>30</v>
      </c>
      <c r="Y383" t="s">
        <v>29</v>
      </c>
      <c r="Z383" t="s">
        <v>29</v>
      </c>
    </row>
    <row r="384" spans="1:27" ht="30" customHeight="1">
      <c r="A384">
        <v>2305436106</v>
      </c>
      <c r="B384">
        <f>COUNTIF(A:A,A384)</f>
        <v>1</v>
      </c>
      <c r="C384" s="1">
        <f t="shared" ca="1" si="30"/>
        <v>15849</v>
      </c>
      <c r="D384" s="1">
        <v>44952</v>
      </c>
      <c r="E384" s="4">
        <f ca="1">DATEDIF(Table1[[#This Row],[DOB]],Table1[[#This Row],[eventDate]],"Y")</f>
        <v>79</v>
      </c>
      <c r="F384" s="4" t="str">
        <f t="shared" si="31"/>
        <v>Woman</v>
      </c>
      <c r="G384" s="4">
        <f ca="1">_xlfn.DAYS(TODAY(),Table1[[#This Row],[eventDate]])</f>
        <v>1161</v>
      </c>
      <c r="H384" t="s">
        <v>27</v>
      </c>
      <c r="I384" t="s">
        <v>28</v>
      </c>
      <c r="J384" t="s">
        <v>29</v>
      </c>
      <c r="K384" s="1">
        <v>45064</v>
      </c>
      <c r="L384">
        <f t="shared" si="32"/>
        <v>112</v>
      </c>
      <c r="M384">
        <f>IF(Table1[[#This Row],[Alive]]="No",Table1[[#This Row],[daysDeath]],Table1[[#This Row],[daysSince]])</f>
        <v>112</v>
      </c>
      <c r="N384">
        <v>110</v>
      </c>
      <c r="O384">
        <v>9.1999999999999993</v>
      </c>
      <c r="P384">
        <v>505</v>
      </c>
      <c r="Q384">
        <v>11</v>
      </c>
      <c r="R384">
        <v>1.9</v>
      </c>
      <c r="S384">
        <v>39</v>
      </c>
      <c r="T384">
        <v>291</v>
      </c>
      <c r="U384">
        <v>20</v>
      </c>
      <c r="V384">
        <v>70</v>
      </c>
      <c r="W384">
        <v>65</v>
      </c>
      <c r="X384" t="s">
        <v>30</v>
      </c>
      <c r="Y384" t="s">
        <v>31</v>
      </c>
      <c r="Z384" t="s">
        <v>29</v>
      </c>
    </row>
    <row r="385" spans="1:26" ht="30" customHeight="1">
      <c r="A385">
        <v>1006565450</v>
      </c>
      <c r="B385">
        <f>COUNTIF(A:A,A385)</f>
        <v>1</v>
      </c>
      <c r="C385" s="1">
        <f t="shared" ca="1" si="30"/>
        <v>20616</v>
      </c>
      <c r="D385" s="1">
        <v>44953</v>
      </c>
      <c r="E385" s="4">
        <f ca="1">DATEDIF(Table1[[#This Row],[DOB]],Table1[[#This Row],[eventDate]],"Y")</f>
        <v>66</v>
      </c>
      <c r="F385" s="4" t="str">
        <f t="shared" si="31"/>
        <v>Man</v>
      </c>
      <c r="G385" s="4">
        <f ca="1">_xlfn.DAYS(TODAY(),Table1[[#This Row],[eventDate]])</f>
        <v>1160</v>
      </c>
      <c r="H385" t="s">
        <v>32</v>
      </c>
      <c r="I385" t="s">
        <v>34</v>
      </c>
      <c r="J385" t="s">
        <v>29</v>
      </c>
      <c r="K385" s="1">
        <v>45024</v>
      </c>
      <c r="L385">
        <f t="shared" si="32"/>
        <v>71</v>
      </c>
      <c r="M385">
        <f>IF(Table1[[#This Row],[Alive]]="No",Table1[[#This Row],[daysDeath]],Table1[[#This Row],[daysSince]])</f>
        <v>71</v>
      </c>
      <c r="N385">
        <v>117</v>
      </c>
      <c r="O385">
        <v>9.3000000000000007</v>
      </c>
      <c r="P385">
        <v>598</v>
      </c>
      <c r="Q385">
        <v>16</v>
      </c>
      <c r="R385">
        <v>4</v>
      </c>
      <c r="S385">
        <v>49</v>
      </c>
      <c r="T385">
        <v>437</v>
      </c>
      <c r="U385">
        <v>17</v>
      </c>
      <c r="V385">
        <v>136</v>
      </c>
      <c r="W385">
        <v>55</v>
      </c>
      <c r="X385" t="s">
        <v>30</v>
      </c>
      <c r="Y385" t="s">
        <v>29</v>
      </c>
      <c r="Z385" t="s">
        <v>29</v>
      </c>
    </row>
    <row r="386" spans="1:26" ht="30" customHeight="1">
      <c r="A386">
        <v>108465535</v>
      </c>
      <c r="B386">
        <f>COUNTIF(A:A,A386)</f>
        <v>1</v>
      </c>
      <c r="C386" s="1">
        <f t="shared" ca="1" si="30"/>
        <v>17015</v>
      </c>
      <c r="D386" s="1">
        <v>44959</v>
      </c>
      <c r="E386" s="4">
        <f ca="1">DATEDIF(Table1[[#This Row],[DOB]],Table1[[#This Row],[eventDate]],"Y")</f>
        <v>76</v>
      </c>
      <c r="F386" s="4" t="str">
        <f t="shared" si="31"/>
        <v>Man</v>
      </c>
      <c r="G386" s="4">
        <f ca="1">_xlfn.DAYS(TODAY(),Table1[[#This Row],[eventDate]])</f>
        <v>1154</v>
      </c>
      <c r="H386" t="s">
        <v>27</v>
      </c>
      <c r="I386" t="s">
        <v>34</v>
      </c>
      <c r="J386" t="s">
        <v>29</v>
      </c>
      <c r="K386" s="1">
        <v>44967</v>
      </c>
      <c r="L386">
        <f t="shared" si="32"/>
        <v>8</v>
      </c>
      <c r="M386">
        <f>IF(Table1[[#This Row],[Alive]]="No",Table1[[#This Row],[daysDeath]],Table1[[#This Row],[daysSince]])</f>
        <v>8</v>
      </c>
      <c r="N386">
        <v>153</v>
      </c>
      <c r="O386">
        <v>8.6999999999999993</v>
      </c>
      <c r="P386">
        <v>246</v>
      </c>
      <c r="Q386">
        <v>15</v>
      </c>
      <c r="R386">
        <v>8.8000000000000007</v>
      </c>
      <c r="S386">
        <v>119</v>
      </c>
      <c r="T386">
        <v>660</v>
      </c>
      <c r="U386">
        <v>22</v>
      </c>
      <c r="V386">
        <v>59</v>
      </c>
      <c r="W386">
        <v>119</v>
      </c>
      <c r="X386" t="s">
        <v>30</v>
      </c>
      <c r="Y386" t="s">
        <v>29</v>
      </c>
      <c r="Z386" t="s">
        <v>31</v>
      </c>
    </row>
    <row r="387" spans="1:26" ht="30" customHeight="1">
      <c r="A387">
        <v>1502673819</v>
      </c>
      <c r="B387">
        <f>COUNTIF(A:A,A387)</f>
        <v>1</v>
      </c>
      <c r="C387" s="1">
        <f t="shared" ca="1" si="30"/>
        <v>24518</v>
      </c>
      <c r="D387" s="1">
        <v>44980</v>
      </c>
      <c r="E387" s="4">
        <f ca="1">DATEDIF(Table1[[#This Row],[DOB]],Table1[[#This Row],[eventDate]],"Y")</f>
        <v>56</v>
      </c>
      <c r="F387" s="4" t="str">
        <f t="shared" si="31"/>
        <v>Man</v>
      </c>
      <c r="G387" s="4">
        <f ca="1">_xlfn.DAYS(TODAY(),Table1[[#This Row],[eventDate]])</f>
        <v>1133</v>
      </c>
      <c r="H387" t="s">
        <v>32</v>
      </c>
      <c r="I387" t="s">
        <v>28</v>
      </c>
      <c r="J387" t="s">
        <v>29</v>
      </c>
      <c r="K387" s="1">
        <v>45567</v>
      </c>
      <c r="L387">
        <f t="shared" si="32"/>
        <v>587</v>
      </c>
      <c r="M387">
        <f>IF(Table1[[#This Row],[Alive]]="No",Table1[[#This Row],[daysDeath]],Table1[[#This Row],[daysSince]])</f>
        <v>587</v>
      </c>
      <c r="N387">
        <v>105</v>
      </c>
      <c r="O387">
        <v>9.4</v>
      </c>
      <c r="P387">
        <v>383</v>
      </c>
      <c r="Q387">
        <v>10</v>
      </c>
      <c r="R387">
        <v>6</v>
      </c>
      <c r="S387">
        <v>68</v>
      </c>
      <c r="T387">
        <v>500</v>
      </c>
      <c r="U387">
        <v>20</v>
      </c>
      <c r="V387">
        <v>15</v>
      </c>
      <c r="W387">
        <v>62.6</v>
      </c>
      <c r="X387" t="s">
        <v>30</v>
      </c>
      <c r="Y387" t="s">
        <v>31</v>
      </c>
      <c r="Z387" t="s">
        <v>29</v>
      </c>
    </row>
    <row r="388" spans="1:26" ht="30" customHeight="1">
      <c r="A388">
        <v>1301506206</v>
      </c>
      <c r="B388">
        <f>COUNTIF(A:A,A388)</f>
        <v>1</v>
      </c>
      <c r="C388" s="1">
        <f t="shared" ca="1" si="30"/>
        <v>18276</v>
      </c>
      <c r="D388" s="1">
        <v>44987</v>
      </c>
      <c r="E388" s="4">
        <f ca="1">DATEDIF(Table1[[#This Row],[DOB]],Table1[[#This Row],[eventDate]],"Y")</f>
        <v>73</v>
      </c>
      <c r="F388" s="4" t="str">
        <f t="shared" si="31"/>
        <v>Woman</v>
      </c>
      <c r="G388" s="4">
        <f ca="1">_xlfn.DAYS(TODAY(),Table1[[#This Row],[eventDate]])</f>
        <v>1126</v>
      </c>
      <c r="H388" t="s">
        <v>32</v>
      </c>
      <c r="I388" t="s">
        <v>34</v>
      </c>
      <c r="J388" t="s">
        <v>29</v>
      </c>
      <c r="K388" s="1">
        <v>45143</v>
      </c>
      <c r="L388">
        <f t="shared" si="32"/>
        <v>156</v>
      </c>
      <c r="M388">
        <f>IF(Table1[[#This Row],[Alive]]="No",Table1[[#This Row],[daysDeath]],Table1[[#This Row],[daysSince]])</f>
        <v>156</v>
      </c>
      <c r="N388">
        <v>92</v>
      </c>
      <c r="O388">
        <v>11.2</v>
      </c>
      <c r="P388">
        <v>215</v>
      </c>
      <c r="Q388">
        <v>19</v>
      </c>
      <c r="R388">
        <v>2.4</v>
      </c>
      <c r="S388">
        <v>64</v>
      </c>
      <c r="T388">
        <v>311</v>
      </c>
      <c r="U388">
        <v>16</v>
      </c>
      <c r="V388">
        <v>92</v>
      </c>
      <c r="W388">
        <v>67.3</v>
      </c>
      <c r="X388" t="s">
        <v>30</v>
      </c>
      <c r="Y388" t="s">
        <v>29</v>
      </c>
      <c r="Z388" t="s">
        <v>29</v>
      </c>
    </row>
    <row r="389" spans="1:26" ht="30" customHeight="1">
      <c r="A389">
        <v>2505463395</v>
      </c>
      <c r="B389">
        <f>COUNTIF(A:A,A389)</f>
        <v>1</v>
      </c>
      <c r="C389" s="1">
        <f t="shared" ca="1" si="30"/>
        <v>16947</v>
      </c>
      <c r="D389" s="1">
        <v>44994</v>
      </c>
      <c r="E389" s="4">
        <f ca="1">DATEDIF(Table1[[#This Row],[DOB]],Table1[[#This Row],[eventDate]],"Y")</f>
        <v>76</v>
      </c>
      <c r="F389" s="4" t="str">
        <f t="shared" si="31"/>
        <v>Man</v>
      </c>
      <c r="G389" s="4">
        <f ca="1">_xlfn.DAYS(TODAY(),Table1[[#This Row],[eventDate]])</f>
        <v>1119</v>
      </c>
      <c r="H389" t="s">
        <v>27</v>
      </c>
      <c r="I389" t="s">
        <v>34</v>
      </c>
      <c r="J389" t="s">
        <v>29</v>
      </c>
      <c r="K389" s="1">
        <v>45703</v>
      </c>
      <c r="L389">
        <f t="shared" si="32"/>
        <v>709</v>
      </c>
      <c r="M389">
        <f>IF(Table1[[#This Row],[Alive]]="No",Table1[[#This Row],[daysDeath]],Table1[[#This Row],[daysSince]])</f>
        <v>709</v>
      </c>
      <c r="N389">
        <v>111</v>
      </c>
      <c r="O389">
        <v>6.5</v>
      </c>
      <c r="P389">
        <v>303</v>
      </c>
      <c r="Q389">
        <v>12</v>
      </c>
      <c r="R389">
        <v>6.5</v>
      </c>
      <c r="S389">
        <v>90</v>
      </c>
      <c r="T389">
        <v>582</v>
      </c>
      <c r="U389">
        <v>24</v>
      </c>
      <c r="V389">
        <v>9</v>
      </c>
      <c r="W389">
        <v>71.8</v>
      </c>
      <c r="X389" t="s">
        <v>30</v>
      </c>
      <c r="Y389" t="s">
        <v>29</v>
      </c>
      <c r="Z389" t="s">
        <v>29</v>
      </c>
    </row>
    <row r="390" spans="1:26" ht="30" customHeight="1">
      <c r="A390">
        <v>3010546211</v>
      </c>
      <c r="B390">
        <f>COUNTIF(A:A,A390)</f>
        <v>1</v>
      </c>
      <c r="C390" s="1">
        <f t="shared" ca="1" si="30"/>
        <v>20027</v>
      </c>
      <c r="D390" s="1">
        <v>44994</v>
      </c>
      <c r="E390" s="4">
        <f ca="1">DATEDIF(Table1[[#This Row],[DOB]],Table1[[#This Row],[eventDate]],"Y")</f>
        <v>68</v>
      </c>
      <c r="F390" s="4" t="str">
        <f t="shared" si="31"/>
        <v>Man</v>
      </c>
      <c r="G390" s="4">
        <f ca="1">_xlfn.DAYS(TODAY(),Table1[[#This Row],[eventDate]])</f>
        <v>1119</v>
      </c>
      <c r="H390" t="s">
        <v>32</v>
      </c>
      <c r="I390" t="s">
        <v>34</v>
      </c>
      <c r="J390" t="s">
        <v>29</v>
      </c>
      <c r="K390" s="1">
        <v>45220</v>
      </c>
      <c r="L390">
        <f t="shared" si="32"/>
        <v>226</v>
      </c>
      <c r="M390">
        <f>IF(Table1[[#This Row],[Alive]]="No",Table1[[#This Row],[daysDeath]],Table1[[#This Row],[daysSince]])</f>
        <v>226</v>
      </c>
      <c r="N390">
        <v>83</v>
      </c>
      <c r="O390">
        <v>4.9000000000000004</v>
      </c>
      <c r="P390">
        <v>166</v>
      </c>
      <c r="Q390">
        <v>13</v>
      </c>
      <c r="R390">
        <v>5.5</v>
      </c>
      <c r="S390">
        <v>89</v>
      </c>
      <c r="T390">
        <v>115</v>
      </c>
      <c r="U390">
        <v>20</v>
      </c>
      <c r="V390">
        <v>3</v>
      </c>
      <c r="W390">
        <v>98</v>
      </c>
      <c r="X390" t="s">
        <v>30</v>
      </c>
      <c r="Y390" t="s">
        <v>31</v>
      </c>
      <c r="Z390" t="s">
        <v>29</v>
      </c>
    </row>
    <row r="391" spans="1:26" ht="30" customHeight="1">
      <c r="A391">
        <v>908746350</v>
      </c>
      <c r="B391">
        <f>COUNTIF(A:A,A391)</f>
        <v>1</v>
      </c>
      <c r="C391" s="1">
        <f t="shared" ca="1" si="30"/>
        <v>27250</v>
      </c>
      <c r="D391" s="1">
        <v>45015</v>
      </c>
      <c r="E391" s="4">
        <f ca="1">DATEDIF(Table1[[#This Row],[DOB]],Table1[[#This Row],[eventDate]],"Y")</f>
        <v>48</v>
      </c>
      <c r="F391" s="4" t="str">
        <f t="shared" si="31"/>
        <v>Man</v>
      </c>
      <c r="G391" s="4">
        <f ca="1">_xlfn.DAYS(TODAY(),Table1[[#This Row],[eventDate]])</f>
        <v>1098</v>
      </c>
      <c r="H391" t="s">
        <v>32</v>
      </c>
      <c r="I391" t="s">
        <v>28</v>
      </c>
      <c r="J391" t="s">
        <v>29</v>
      </c>
      <c r="K391" s="1">
        <v>45203</v>
      </c>
      <c r="L391">
        <f t="shared" si="32"/>
        <v>188</v>
      </c>
      <c r="M391">
        <f>IF(Table1[[#This Row],[Alive]]="No",Table1[[#This Row],[daysDeath]],Table1[[#This Row],[daysSince]])</f>
        <v>188</v>
      </c>
      <c r="N391">
        <v>131</v>
      </c>
      <c r="O391">
        <v>6.8</v>
      </c>
      <c r="P391">
        <v>289</v>
      </c>
      <c r="Q391">
        <v>11</v>
      </c>
      <c r="R391">
        <v>4</v>
      </c>
      <c r="S391">
        <v>63</v>
      </c>
      <c r="T391">
        <v>220</v>
      </c>
      <c r="U391">
        <v>30</v>
      </c>
      <c r="V391">
        <v>9</v>
      </c>
      <c r="W391">
        <v>76</v>
      </c>
      <c r="X391" t="s">
        <v>30</v>
      </c>
      <c r="Y391" t="s">
        <v>29</v>
      </c>
      <c r="Z391" t="s">
        <v>29</v>
      </c>
    </row>
    <row r="392" spans="1:26" ht="30" customHeight="1">
      <c r="A392">
        <v>1510456392</v>
      </c>
      <c r="B392">
        <f>COUNTIF(A:A,A392)</f>
        <v>1</v>
      </c>
      <c r="C392" s="1">
        <f t="shared" ca="1" si="30"/>
        <v>16725</v>
      </c>
      <c r="D392" s="1">
        <v>45027</v>
      </c>
      <c r="E392" s="4">
        <f ca="1">DATEDIF(Table1[[#This Row],[DOB]],Table1[[#This Row],[eventDate]],"Y")</f>
        <v>77</v>
      </c>
      <c r="F392" s="4" t="str">
        <f t="shared" si="31"/>
        <v>Man</v>
      </c>
      <c r="G392" s="4">
        <f ca="1">_xlfn.DAYS(TODAY(),Table1[[#This Row],[eventDate]])</f>
        <v>1086</v>
      </c>
      <c r="H392" t="s">
        <v>27</v>
      </c>
      <c r="I392" t="s">
        <v>28</v>
      </c>
      <c r="J392" t="s">
        <v>29</v>
      </c>
      <c r="K392" s="1">
        <v>45109</v>
      </c>
      <c r="L392">
        <f t="shared" si="32"/>
        <v>82</v>
      </c>
      <c r="M392">
        <f>IF(Table1[[#This Row],[Alive]]="No",Table1[[#This Row],[daysDeath]],Table1[[#This Row],[daysSince]])</f>
        <v>82</v>
      </c>
      <c r="N392">
        <v>108</v>
      </c>
      <c r="O392">
        <v>14.4</v>
      </c>
      <c r="P392">
        <v>494</v>
      </c>
      <c r="Q392">
        <v>14</v>
      </c>
      <c r="R392">
        <v>5.5</v>
      </c>
      <c r="S392">
        <v>74</v>
      </c>
      <c r="T392">
        <v>342</v>
      </c>
      <c r="U392">
        <v>25</v>
      </c>
      <c r="V392">
        <v>69</v>
      </c>
      <c r="W392">
        <v>76</v>
      </c>
      <c r="X392" t="s">
        <v>30</v>
      </c>
      <c r="Y392" t="s">
        <v>29</v>
      </c>
      <c r="Z392" t="s">
        <v>29</v>
      </c>
    </row>
    <row r="393" spans="1:26" ht="30" customHeight="1">
      <c r="A393">
        <v>1101463139</v>
      </c>
      <c r="B393">
        <f>COUNTIF(A:A,A393)</f>
        <v>1</v>
      </c>
      <c r="C393" s="1">
        <f t="shared" ca="1" si="30"/>
        <v>16813</v>
      </c>
      <c r="D393" s="1">
        <v>45029</v>
      </c>
      <c r="E393" s="4">
        <f ca="1">DATEDIF(Table1[[#This Row],[DOB]],Table1[[#This Row],[eventDate]],"Y")</f>
        <v>77</v>
      </c>
      <c r="F393" s="4" t="str">
        <f t="shared" si="31"/>
        <v>Man</v>
      </c>
      <c r="G393" s="4">
        <f ca="1">_xlfn.DAYS(TODAY(),Table1[[#This Row],[eventDate]])</f>
        <v>1084</v>
      </c>
      <c r="H393" t="s">
        <v>32</v>
      </c>
      <c r="I393" t="s">
        <v>34</v>
      </c>
      <c r="J393" t="s">
        <v>29</v>
      </c>
      <c r="K393" s="1">
        <v>45051</v>
      </c>
      <c r="L393">
        <f t="shared" si="32"/>
        <v>22</v>
      </c>
      <c r="M393">
        <f>IF(Table1[[#This Row],[Alive]]="No",Table1[[#This Row],[daysDeath]],Table1[[#This Row],[daysSince]])</f>
        <v>22</v>
      </c>
      <c r="N393">
        <v>104</v>
      </c>
      <c r="O393">
        <v>5.5</v>
      </c>
      <c r="P393">
        <v>269</v>
      </c>
      <c r="Q393">
        <v>12</v>
      </c>
      <c r="R393">
        <v>6.6</v>
      </c>
      <c r="S393">
        <v>51</v>
      </c>
      <c r="T393">
        <v>668</v>
      </c>
      <c r="U393">
        <v>26</v>
      </c>
      <c r="V393">
        <v>83</v>
      </c>
      <c r="W393">
        <v>67</v>
      </c>
      <c r="X393" t="s">
        <v>30</v>
      </c>
      <c r="Y393" t="s">
        <v>31</v>
      </c>
      <c r="Z393" t="s">
        <v>47</v>
      </c>
    </row>
    <row r="394" spans="1:26" ht="30" customHeight="1">
      <c r="A394">
        <v>709483007</v>
      </c>
      <c r="B394">
        <f>COUNTIF(A:A,A394)</f>
        <v>1</v>
      </c>
      <c r="C394" s="1">
        <f t="shared" ca="1" si="30"/>
        <v>17783</v>
      </c>
      <c r="D394" s="1">
        <v>45034</v>
      </c>
      <c r="E394" s="4">
        <f ca="1">DATEDIF(Table1[[#This Row],[DOB]],Table1[[#This Row],[eventDate]],"Y")</f>
        <v>74</v>
      </c>
      <c r="F394" s="4" t="str">
        <f t="shared" si="31"/>
        <v>Woman</v>
      </c>
      <c r="G394" s="4">
        <f ca="1">_xlfn.DAYS(TODAY(),Table1[[#This Row],[eventDate]])</f>
        <v>1079</v>
      </c>
      <c r="H394" t="s">
        <v>32</v>
      </c>
      <c r="I394" t="s">
        <v>28</v>
      </c>
      <c r="J394" t="s">
        <v>29</v>
      </c>
      <c r="K394" s="1">
        <v>45098</v>
      </c>
      <c r="L394">
        <f t="shared" si="32"/>
        <v>64</v>
      </c>
      <c r="M394">
        <f>IF(Table1[[#This Row],[Alive]]="No",Table1[[#This Row],[daysDeath]],Table1[[#This Row],[daysSince]])</f>
        <v>64</v>
      </c>
      <c r="N394">
        <v>125</v>
      </c>
      <c r="O394">
        <v>7.7</v>
      </c>
      <c r="P394">
        <v>384</v>
      </c>
      <c r="Q394">
        <v>13</v>
      </c>
      <c r="R394">
        <v>1.2</v>
      </c>
      <c r="S394">
        <v>57</v>
      </c>
      <c r="T394">
        <v>288</v>
      </c>
      <c r="U394">
        <v>19</v>
      </c>
      <c r="V394">
        <v>32</v>
      </c>
      <c r="X394" t="s">
        <v>30</v>
      </c>
      <c r="Y394" t="s">
        <v>29</v>
      </c>
      <c r="Z394" t="s">
        <v>29</v>
      </c>
    </row>
    <row r="395" spans="1:26" ht="30" customHeight="1">
      <c r="A395">
        <v>2203535679</v>
      </c>
      <c r="B395">
        <f>COUNTIF(A:A,A395)</f>
        <v>1</v>
      </c>
      <c r="C395" s="1">
        <f t="shared" ca="1" si="30"/>
        <v>19440</v>
      </c>
      <c r="D395" s="1">
        <v>45036</v>
      </c>
      <c r="E395" s="4">
        <f ca="1">DATEDIF(Table1[[#This Row],[DOB]],Table1[[#This Row],[eventDate]],"Y")</f>
        <v>70</v>
      </c>
      <c r="F395" s="4" t="str">
        <f t="shared" si="31"/>
        <v>Man</v>
      </c>
      <c r="G395" s="4">
        <f ca="1">_xlfn.DAYS(TODAY(),Table1[[#This Row],[eventDate]])</f>
        <v>1077</v>
      </c>
      <c r="H395" t="s">
        <v>27</v>
      </c>
      <c r="I395" t="s">
        <v>28</v>
      </c>
      <c r="J395" t="s">
        <v>29</v>
      </c>
      <c r="K395" s="1">
        <v>45753</v>
      </c>
      <c r="L395">
        <f t="shared" si="32"/>
        <v>717</v>
      </c>
      <c r="M395">
        <f>IF(Table1[[#This Row],[Alive]]="No",Table1[[#This Row],[daysDeath]],Table1[[#This Row],[daysSince]])</f>
        <v>717</v>
      </c>
      <c r="N395">
        <v>102</v>
      </c>
      <c r="O395">
        <v>6.8</v>
      </c>
      <c r="P395">
        <v>235</v>
      </c>
      <c r="Q395">
        <v>13</v>
      </c>
      <c r="R395">
        <v>3.6</v>
      </c>
      <c r="S395">
        <v>82</v>
      </c>
      <c r="T395">
        <v>113</v>
      </c>
      <c r="U395">
        <v>21</v>
      </c>
      <c r="V395">
        <v>153</v>
      </c>
      <c r="W395">
        <v>100</v>
      </c>
      <c r="X395" t="s">
        <v>30</v>
      </c>
      <c r="Y395" t="s">
        <v>31</v>
      </c>
      <c r="Z395" t="s">
        <v>29</v>
      </c>
    </row>
    <row r="396" spans="1:26" ht="30" customHeight="1">
      <c r="A396">
        <v>1807556115</v>
      </c>
      <c r="B396">
        <f>COUNTIF(A:A,A396)</f>
        <v>1</v>
      </c>
      <c r="C396" s="1">
        <f t="shared" ca="1" si="30"/>
        <v>20288</v>
      </c>
      <c r="D396" s="1">
        <v>45041</v>
      </c>
      <c r="E396" s="4">
        <f ca="1">DATEDIF(Table1[[#This Row],[DOB]],Table1[[#This Row],[eventDate]],"Y")</f>
        <v>67</v>
      </c>
      <c r="F396" s="4" t="str">
        <f t="shared" si="31"/>
        <v>Man</v>
      </c>
      <c r="G396" s="4">
        <f ca="1">_xlfn.DAYS(TODAY(),Table1[[#This Row],[eventDate]])</f>
        <v>1072</v>
      </c>
      <c r="H396" t="s">
        <v>27</v>
      </c>
      <c r="I396" t="s">
        <v>28</v>
      </c>
      <c r="J396" t="s">
        <v>29</v>
      </c>
      <c r="K396" s="1">
        <v>45245</v>
      </c>
      <c r="L396">
        <f t="shared" si="32"/>
        <v>204</v>
      </c>
      <c r="M396">
        <f>IF(Table1[[#This Row],[Alive]]="No",Table1[[#This Row],[daysDeath]],Table1[[#This Row],[daysSince]])</f>
        <v>204</v>
      </c>
      <c r="N396">
        <v>126</v>
      </c>
      <c r="O396">
        <v>5.2</v>
      </c>
      <c r="P396">
        <v>222</v>
      </c>
      <c r="Q396">
        <v>12</v>
      </c>
      <c r="R396">
        <v>5.3</v>
      </c>
      <c r="S396">
        <v>62</v>
      </c>
      <c r="T396">
        <v>170</v>
      </c>
      <c r="U396">
        <v>28</v>
      </c>
      <c r="V396">
        <v>8</v>
      </c>
      <c r="W396">
        <v>68</v>
      </c>
      <c r="X396" t="s">
        <v>30</v>
      </c>
      <c r="Y396" t="s">
        <v>31</v>
      </c>
      <c r="Z396" t="s">
        <v>29</v>
      </c>
    </row>
    <row r="397" spans="1:26" ht="30" customHeight="1">
      <c r="A397">
        <v>2702583016</v>
      </c>
      <c r="B397">
        <f>COUNTIF(A:A,A397)</f>
        <v>1</v>
      </c>
      <c r="C397" s="1">
        <f t="shared" ca="1" si="30"/>
        <v>21243</v>
      </c>
      <c r="D397" s="1">
        <v>45043</v>
      </c>
      <c r="E397" s="4">
        <f ca="1">DATEDIF(Table1[[#This Row],[DOB]],Table1[[#This Row],[eventDate]],"Y")</f>
        <v>65</v>
      </c>
      <c r="F397" s="4" t="str">
        <f t="shared" si="31"/>
        <v>Man</v>
      </c>
      <c r="G397" s="4">
        <f ca="1">_xlfn.DAYS(TODAY(),Table1[[#This Row],[eventDate]])</f>
        <v>1070</v>
      </c>
      <c r="H397" t="s">
        <v>27</v>
      </c>
      <c r="I397" t="s">
        <v>28</v>
      </c>
      <c r="J397" t="s">
        <v>29</v>
      </c>
      <c r="K397" s="1">
        <v>45128</v>
      </c>
      <c r="L397">
        <f t="shared" si="32"/>
        <v>85</v>
      </c>
      <c r="M397">
        <f>IF(Table1[[#This Row],[Alive]]="No",Table1[[#This Row],[daysDeath]],Table1[[#This Row],[daysSince]])</f>
        <v>85</v>
      </c>
      <c r="N397">
        <v>108</v>
      </c>
      <c r="O397">
        <v>6</v>
      </c>
      <c r="P397">
        <v>236</v>
      </c>
      <c r="Q397">
        <v>12</v>
      </c>
      <c r="R397">
        <v>1.7</v>
      </c>
      <c r="S397">
        <v>56</v>
      </c>
      <c r="T397">
        <v>326</v>
      </c>
      <c r="U397">
        <v>20</v>
      </c>
      <c r="V397">
        <v>36</v>
      </c>
      <c r="W397">
        <v>89</v>
      </c>
      <c r="X397" t="s">
        <v>30</v>
      </c>
      <c r="Y397" t="s">
        <v>29</v>
      </c>
      <c r="Z397" t="s">
        <v>29</v>
      </c>
    </row>
    <row r="398" spans="1:26" ht="30" customHeight="1">
      <c r="A398">
        <v>2009523032</v>
      </c>
      <c r="B398">
        <f>COUNTIF(A:A,A398)</f>
        <v>1</v>
      </c>
      <c r="C398" s="1">
        <f t="shared" ca="1" si="30"/>
        <v>19257</v>
      </c>
      <c r="D398" s="1">
        <v>45050</v>
      </c>
      <c r="E398" s="4">
        <f ca="1">DATEDIF(Table1[[#This Row],[DOB]],Table1[[#This Row],[eventDate]],"Y")</f>
        <v>70</v>
      </c>
      <c r="F398" s="4" t="str">
        <f t="shared" si="31"/>
        <v>Man</v>
      </c>
      <c r="G398" s="4">
        <f ca="1">_xlfn.DAYS(TODAY(),Table1[[#This Row],[eventDate]])</f>
        <v>1063</v>
      </c>
      <c r="H398" t="s">
        <v>32</v>
      </c>
      <c r="I398" t="s">
        <v>28</v>
      </c>
      <c r="J398" t="s">
        <v>29</v>
      </c>
      <c r="K398" s="1">
        <v>45248</v>
      </c>
      <c r="L398">
        <f t="shared" si="32"/>
        <v>198</v>
      </c>
      <c r="M398">
        <f>IF(Table1[[#This Row],[Alive]]="No",Table1[[#This Row],[daysDeath]],Table1[[#This Row],[daysSince]])</f>
        <v>198</v>
      </c>
      <c r="N398">
        <v>100</v>
      </c>
      <c r="O398">
        <v>8</v>
      </c>
      <c r="P398">
        <v>397</v>
      </c>
      <c r="Q398">
        <v>16</v>
      </c>
      <c r="R398">
        <v>8</v>
      </c>
      <c r="S398">
        <v>77</v>
      </c>
      <c r="T398">
        <v>388</v>
      </c>
      <c r="U398">
        <v>25</v>
      </c>
      <c r="V398">
        <v>27</v>
      </c>
      <c r="X398" t="s">
        <v>30</v>
      </c>
      <c r="Y398" t="s">
        <v>29</v>
      </c>
      <c r="Z398" t="s">
        <v>29</v>
      </c>
    </row>
    <row r="399" spans="1:26" ht="30" customHeight="1">
      <c r="A399">
        <v>103626379</v>
      </c>
      <c r="B399">
        <f>COUNTIF(A:A,A399)</f>
        <v>1</v>
      </c>
      <c r="C399" s="1">
        <f t="shared" ca="1" si="30"/>
        <v>22706</v>
      </c>
      <c r="D399" s="1">
        <v>45057</v>
      </c>
      <c r="E399" s="4">
        <f ca="1">DATEDIF(Table1[[#This Row],[DOB]],Table1[[#This Row],[eventDate]],"Y")</f>
        <v>61</v>
      </c>
      <c r="F399" s="4" t="str">
        <f t="shared" si="31"/>
        <v>Man</v>
      </c>
      <c r="G399" s="4">
        <f ca="1">_xlfn.DAYS(TODAY(),Table1[[#This Row],[eventDate]])</f>
        <v>1056</v>
      </c>
      <c r="H399" t="s">
        <v>32</v>
      </c>
      <c r="I399" t="s">
        <v>28</v>
      </c>
      <c r="J399" t="s">
        <v>29</v>
      </c>
      <c r="K399" s="1">
        <v>45073</v>
      </c>
      <c r="L399">
        <f t="shared" si="32"/>
        <v>16</v>
      </c>
      <c r="M399">
        <f>IF(Table1[[#This Row],[Alive]]="No",Table1[[#This Row],[daysDeath]],Table1[[#This Row],[daysSince]])</f>
        <v>16</v>
      </c>
      <c r="N399">
        <v>96</v>
      </c>
      <c r="O399">
        <v>11.3</v>
      </c>
      <c r="P399">
        <v>247</v>
      </c>
      <c r="Q399">
        <v>18</v>
      </c>
      <c r="R399">
        <v>3.2</v>
      </c>
      <c r="S399">
        <v>46</v>
      </c>
      <c r="T399">
        <v>168</v>
      </c>
      <c r="U399">
        <v>15</v>
      </c>
      <c r="V399">
        <v>182</v>
      </c>
      <c r="W399">
        <v>71</v>
      </c>
      <c r="X399" t="s">
        <v>30</v>
      </c>
      <c r="Y399" t="s">
        <v>31</v>
      </c>
      <c r="Z399" t="s">
        <v>47</v>
      </c>
    </row>
    <row r="400" spans="1:26" ht="30" customHeight="1">
      <c r="A400">
        <v>2111696455</v>
      </c>
      <c r="B400">
        <f>COUNTIF(A:A,A400)</f>
        <v>1</v>
      </c>
      <c r="C400" s="1">
        <f t="shared" ca="1" si="30"/>
        <v>25528</v>
      </c>
      <c r="D400" s="1">
        <v>45057</v>
      </c>
      <c r="E400" s="4">
        <f ca="1">DATEDIF(Table1[[#This Row],[DOB]],Table1[[#This Row],[eventDate]],"Y")</f>
        <v>53</v>
      </c>
      <c r="F400" s="4" t="str">
        <f t="shared" si="31"/>
        <v>Man</v>
      </c>
      <c r="G400" s="4">
        <f ca="1">_xlfn.DAYS(TODAY(),Table1[[#This Row],[eventDate]])</f>
        <v>1056</v>
      </c>
      <c r="H400" t="s">
        <v>27</v>
      </c>
      <c r="I400" t="s">
        <v>28</v>
      </c>
      <c r="J400" t="s">
        <v>29</v>
      </c>
      <c r="K400" s="1">
        <v>45127</v>
      </c>
      <c r="L400">
        <f t="shared" si="32"/>
        <v>70</v>
      </c>
      <c r="M400">
        <f>IF(Table1[[#This Row],[Alive]]="No",Table1[[#This Row],[daysDeath]],Table1[[#This Row],[daysSince]])</f>
        <v>70</v>
      </c>
      <c r="N400">
        <v>111</v>
      </c>
      <c r="O400">
        <v>9.5</v>
      </c>
      <c r="P400">
        <v>252</v>
      </c>
      <c r="Q400">
        <v>11</v>
      </c>
      <c r="R400">
        <v>6.6</v>
      </c>
      <c r="S400">
        <v>174</v>
      </c>
      <c r="T400">
        <v>167</v>
      </c>
      <c r="U400">
        <v>29</v>
      </c>
      <c r="V400">
        <v>31</v>
      </c>
      <c r="X400" t="s">
        <v>30</v>
      </c>
      <c r="Y400" t="s">
        <v>29</v>
      </c>
      <c r="Z400" t="s">
        <v>29</v>
      </c>
    </row>
    <row r="401" spans="1:26" ht="30" customHeight="1">
      <c r="A401">
        <v>2306466459</v>
      </c>
      <c r="B401">
        <f>COUNTIF(A:A,A401)</f>
        <v>1</v>
      </c>
      <c r="C401" s="1">
        <f t="shared" ca="1" si="30"/>
        <v>16976</v>
      </c>
      <c r="D401" s="1">
        <v>45062</v>
      </c>
      <c r="E401" s="4">
        <f ca="1">DATEDIF(Table1[[#This Row],[DOB]],Table1[[#This Row],[eventDate]],"Y")</f>
        <v>76</v>
      </c>
      <c r="F401" s="4" t="str">
        <f t="shared" si="31"/>
        <v>Man</v>
      </c>
      <c r="G401" s="4">
        <f ca="1">_xlfn.DAYS(TODAY(),Table1[[#This Row],[eventDate]])</f>
        <v>1051</v>
      </c>
      <c r="H401" t="s">
        <v>32</v>
      </c>
      <c r="I401" t="s">
        <v>28</v>
      </c>
      <c r="J401" t="s">
        <v>29</v>
      </c>
      <c r="K401" s="1">
        <v>45360</v>
      </c>
      <c r="L401">
        <f t="shared" si="32"/>
        <v>298</v>
      </c>
      <c r="M401">
        <f>IF(Table1[[#This Row],[Alive]]="No",Table1[[#This Row],[daysDeath]],Table1[[#This Row],[daysSince]])</f>
        <v>298</v>
      </c>
      <c r="N401">
        <v>96</v>
      </c>
      <c r="O401">
        <v>22.9</v>
      </c>
      <c r="P401">
        <v>562</v>
      </c>
      <c r="Q401">
        <v>12</v>
      </c>
      <c r="R401">
        <v>7.4</v>
      </c>
      <c r="S401">
        <v>105</v>
      </c>
      <c r="T401">
        <v>248</v>
      </c>
      <c r="U401">
        <v>19</v>
      </c>
      <c r="V401">
        <v>119</v>
      </c>
      <c r="X401" t="s">
        <v>30</v>
      </c>
      <c r="Y401" t="s">
        <v>29</v>
      </c>
      <c r="Z401" t="s">
        <v>29</v>
      </c>
    </row>
    <row r="402" spans="1:26" ht="30" customHeight="1">
      <c r="A402">
        <v>1510526560</v>
      </c>
      <c r="B402">
        <f>COUNTIF(A:A,A402)</f>
        <v>1</v>
      </c>
      <c r="C402" s="1">
        <f t="shared" ca="1" si="30"/>
        <v>19282</v>
      </c>
      <c r="D402" s="1">
        <v>45062</v>
      </c>
      <c r="E402" s="4">
        <f ca="1">DATEDIF(Table1[[#This Row],[DOB]],Table1[[#This Row],[eventDate]],"Y")</f>
        <v>70</v>
      </c>
      <c r="F402" s="4" t="str">
        <f t="shared" si="31"/>
        <v>Woman</v>
      </c>
      <c r="G402" s="4">
        <f ca="1">_xlfn.DAYS(TODAY(),Table1[[#This Row],[eventDate]])</f>
        <v>1051</v>
      </c>
      <c r="H402" t="s">
        <v>32</v>
      </c>
      <c r="I402" t="s">
        <v>28</v>
      </c>
      <c r="J402" t="s">
        <v>29</v>
      </c>
      <c r="K402" s="1">
        <v>45081</v>
      </c>
      <c r="L402">
        <f t="shared" si="32"/>
        <v>19</v>
      </c>
      <c r="M402">
        <f>IF(Table1[[#This Row],[Alive]]="No",Table1[[#This Row],[daysDeath]],Table1[[#This Row],[daysSince]])</f>
        <v>19</v>
      </c>
      <c r="N402">
        <v>120</v>
      </c>
      <c r="O402">
        <v>35.5</v>
      </c>
      <c r="P402">
        <v>389</v>
      </c>
      <c r="Q402">
        <v>11</v>
      </c>
      <c r="R402">
        <v>3.3</v>
      </c>
      <c r="S402">
        <v>62</v>
      </c>
      <c r="T402">
        <v>555</v>
      </c>
      <c r="U402">
        <v>23</v>
      </c>
      <c r="V402">
        <v>21</v>
      </c>
      <c r="W402">
        <v>74</v>
      </c>
      <c r="X402" t="s">
        <v>30</v>
      </c>
      <c r="Y402" t="s">
        <v>29</v>
      </c>
      <c r="Z402" t="s">
        <v>29</v>
      </c>
    </row>
    <row r="403" spans="1:26" ht="30" customHeight="1">
      <c r="A403">
        <v>607556005</v>
      </c>
      <c r="B403">
        <f>COUNTIF(A:A,A403)</f>
        <v>1</v>
      </c>
      <c r="C403" s="1">
        <f t="shared" ca="1" si="30"/>
        <v>20276</v>
      </c>
      <c r="D403" s="1">
        <v>45064</v>
      </c>
      <c r="E403" s="4">
        <f ca="1">DATEDIF(Table1[[#This Row],[DOB]],Table1[[#This Row],[eventDate]],"Y")</f>
        <v>67</v>
      </c>
      <c r="F403" s="4" t="str">
        <f t="shared" si="31"/>
        <v>Woman</v>
      </c>
      <c r="G403" s="4">
        <f ca="1">_xlfn.DAYS(TODAY(),Table1[[#This Row],[eventDate]])</f>
        <v>1049</v>
      </c>
      <c r="H403" t="s">
        <v>32</v>
      </c>
      <c r="I403" t="s">
        <v>28</v>
      </c>
      <c r="J403" t="s">
        <v>29</v>
      </c>
      <c r="K403" s="1">
        <v>45138</v>
      </c>
      <c r="L403">
        <f t="shared" si="32"/>
        <v>74</v>
      </c>
      <c r="M403">
        <f>IF(Table1[[#This Row],[Alive]]="No",Table1[[#This Row],[daysDeath]],Table1[[#This Row],[daysSince]])</f>
        <v>74</v>
      </c>
      <c r="N403">
        <v>114</v>
      </c>
      <c r="O403">
        <v>7.5</v>
      </c>
      <c r="P403">
        <v>239</v>
      </c>
      <c r="Q403">
        <v>12</v>
      </c>
      <c r="R403">
        <v>2.8</v>
      </c>
      <c r="S403">
        <v>38</v>
      </c>
      <c r="T403">
        <v>381</v>
      </c>
      <c r="U403">
        <v>21</v>
      </c>
      <c r="V403">
        <v>44</v>
      </c>
      <c r="W403">
        <v>54.7</v>
      </c>
      <c r="X403" t="s">
        <v>30</v>
      </c>
      <c r="Y403" t="s">
        <v>31</v>
      </c>
      <c r="Z403" t="s">
        <v>29</v>
      </c>
    </row>
    <row r="404" spans="1:26" ht="30" customHeight="1">
      <c r="A404">
        <v>2004502274</v>
      </c>
      <c r="B404">
        <f>COUNTIF(A:A,A404)</f>
        <v>1</v>
      </c>
      <c r="C404" s="1">
        <f t="shared" ca="1" si="30"/>
        <v>18373</v>
      </c>
      <c r="D404" s="1">
        <v>45071</v>
      </c>
      <c r="E404" s="4">
        <f ca="1">DATEDIF(Table1[[#This Row],[DOB]],Table1[[#This Row],[eventDate]],"Y")</f>
        <v>73</v>
      </c>
      <c r="F404" s="4" t="str">
        <f t="shared" si="31"/>
        <v>Man</v>
      </c>
      <c r="G404" s="4">
        <f ca="1">_xlfn.DAYS(TODAY(),Table1[[#This Row],[eventDate]])</f>
        <v>1042</v>
      </c>
      <c r="H404" t="s">
        <v>32</v>
      </c>
      <c r="I404" t="s">
        <v>28</v>
      </c>
      <c r="J404" t="s">
        <v>29</v>
      </c>
      <c r="K404" s="1">
        <v>45113</v>
      </c>
      <c r="L404">
        <f t="shared" si="32"/>
        <v>42</v>
      </c>
      <c r="M404">
        <f>IF(Table1[[#This Row],[Alive]]="No",Table1[[#This Row],[daysDeath]],Table1[[#This Row],[daysSince]])</f>
        <v>42</v>
      </c>
      <c r="N404">
        <v>109</v>
      </c>
      <c r="O404">
        <v>3</v>
      </c>
      <c r="P404">
        <v>786</v>
      </c>
      <c r="Q404">
        <v>14</v>
      </c>
      <c r="R404">
        <v>3.8</v>
      </c>
      <c r="S404">
        <v>79</v>
      </c>
      <c r="T404">
        <v>244</v>
      </c>
      <c r="U404">
        <v>24</v>
      </c>
      <c r="V404">
        <v>33</v>
      </c>
      <c r="W404">
        <v>81</v>
      </c>
      <c r="X404" t="s">
        <v>30</v>
      </c>
      <c r="Y404" t="s">
        <v>31</v>
      </c>
      <c r="Z404" t="s">
        <v>29</v>
      </c>
    </row>
    <row r="405" spans="1:26" ht="30" customHeight="1">
      <c r="A405">
        <v>2210616115</v>
      </c>
      <c r="B405">
        <f>COUNTIF(A:A,A405)</f>
        <v>1</v>
      </c>
      <c r="C405" s="1">
        <f t="shared" ca="1" si="30"/>
        <v>22576</v>
      </c>
      <c r="D405" s="1">
        <v>45071</v>
      </c>
      <c r="E405" s="4">
        <f ca="1">DATEDIF(Table1[[#This Row],[DOB]],Table1[[#This Row],[eventDate]],"Y")</f>
        <v>61</v>
      </c>
      <c r="F405" s="4" t="str">
        <f t="shared" si="31"/>
        <v>Man</v>
      </c>
      <c r="G405" s="4">
        <f ca="1">_xlfn.DAYS(TODAY(),Table1[[#This Row],[eventDate]])</f>
        <v>1042</v>
      </c>
      <c r="H405" t="s">
        <v>27</v>
      </c>
      <c r="I405" t="s">
        <v>28</v>
      </c>
      <c r="J405" t="s">
        <v>29</v>
      </c>
      <c r="K405" s="1">
        <v>45255</v>
      </c>
      <c r="L405">
        <f t="shared" si="32"/>
        <v>184</v>
      </c>
      <c r="M405">
        <f>IF(Table1[[#This Row],[Alive]]="No",Table1[[#This Row],[daysDeath]],Table1[[#This Row],[daysSince]])</f>
        <v>184</v>
      </c>
      <c r="N405">
        <v>123</v>
      </c>
      <c r="O405">
        <v>5.0999999999999996</v>
      </c>
      <c r="P405">
        <v>191</v>
      </c>
      <c r="Q405">
        <v>12</v>
      </c>
      <c r="R405">
        <v>3.4</v>
      </c>
      <c r="S405">
        <v>41</v>
      </c>
      <c r="T405">
        <v>331</v>
      </c>
      <c r="U405">
        <v>22</v>
      </c>
      <c r="V405">
        <v>27</v>
      </c>
      <c r="W405">
        <v>109</v>
      </c>
      <c r="X405" t="s">
        <v>30</v>
      </c>
      <c r="Y405" t="s">
        <v>29</v>
      </c>
      <c r="Z405" t="s">
        <v>29</v>
      </c>
    </row>
    <row r="406" spans="1:26" ht="30" customHeight="1">
      <c r="A406">
        <v>1605743399</v>
      </c>
      <c r="B406">
        <f>COUNTIF(A:A,A406)</f>
        <v>1</v>
      </c>
      <c r="C406" s="1">
        <f t="shared" ca="1" si="30"/>
        <v>27165</v>
      </c>
      <c r="D406" s="1">
        <v>45076</v>
      </c>
      <c r="E406" s="4">
        <f ca="1">DATEDIF(Table1[[#This Row],[DOB]],Table1[[#This Row],[eventDate]],"Y")</f>
        <v>49</v>
      </c>
      <c r="F406" s="4" t="str">
        <f t="shared" si="31"/>
        <v>Man</v>
      </c>
      <c r="G406" s="4">
        <f ca="1">_xlfn.DAYS(TODAY(),Table1[[#This Row],[eventDate]])</f>
        <v>1037</v>
      </c>
      <c r="H406" t="s">
        <v>32</v>
      </c>
      <c r="I406" t="s">
        <v>28</v>
      </c>
      <c r="J406" t="s">
        <v>29</v>
      </c>
      <c r="K406" s="1">
        <v>45200</v>
      </c>
      <c r="L406">
        <f t="shared" si="32"/>
        <v>124</v>
      </c>
      <c r="M406">
        <f>IF(Table1[[#This Row],[Alive]]="No",Table1[[#This Row],[daysDeath]],Table1[[#This Row],[daysSince]])</f>
        <v>124</v>
      </c>
      <c r="N406">
        <v>146</v>
      </c>
      <c r="O406">
        <v>9.1</v>
      </c>
      <c r="P406">
        <v>322</v>
      </c>
      <c r="Q406">
        <v>12</v>
      </c>
      <c r="R406">
        <v>3.7</v>
      </c>
      <c r="S406">
        <v>72</v>
      </c>
      <c r="T406">
        <v>237</v>
      </c>
      <c r="U406">
        <v>38</v>
      </c>
      <c r="V406">
        <v>19</v>
      </c>
      <c r="W406">
        <v>85.7</v>
      </c>
      <c r="X406" t="s">
        <v>30</v>
      </c>
      <c r="Y406" t="s">
        <v>29</v>
      </c>
      <c r="Z406" t="s">
        <v>29</v>
      </c>
    </row>
    <row r="407" spans="1:26" ht="30" customHeight="1">
      <c r="A407">
        <v>2903566496</v>
      </c>
      <c r="B407">
        <f>COUNTIF(A:A,A407)</f>
        <v>1</v>
      </c>
      <c r="C407" s="1">
        <f t="shared" ca="1" si="30"/>
        <v>20543</v>
      </c>
      <c r="D407" s="1">
        <v>45077</v>
      </c>
      <c r="E407" s="4">
        <f ca="1">DATEDIF(Table1[[#This Row],[DOB]],Table1[[#This Row],[eventDate]],"Y")</f>
        <v>67</v>
      </c>
      <c r="F407" s="4" t="str">
        <f t="shared" si="31"/>
        <v>Man</v>
      </c>
      <c r="G407" s="4">
        <f ca="1">_xlfn.DAYS(TODAY(),Table1[[#This Row],[eventDate]])</f>
        <v>1036</v>
      </c>
      <c r="H407" t="s">
        <v>27</v>
      </c>
      <c r="I407" t="s">
        <v>34</v>
      </c>
      <c r="J407" t="s">
        <v>29</v>
      </c>
      <c r="K407" s="1">
        <v>45164</v>
      </c>
      <c r="L407">
        <f t="shared" si="32"/>
        <v>87</v>
      </c>
      <c r="M407">
        <f>IF(Table1[[#This Row],[Alive]]="No",Table1[[#This Row],[daysDeath]],Table1[[#This Row],[daysSince]])</f>
        <v>87</v>
      </c>
      <c r="N407">
        <v>109</v>
      </c>
      <c r="O407">
        <v>5.5</v>
      </c>
      <c r="P407">
        <v>183</v>
      </c>
      <c r="Q407">
        <v>24</v>
      </c>
      <c r="R407">
        <v>5.2</v>
      </c>
      <c r="S407">
        <v>55</v>
      </c>
      <c r="T407">
        <v>135</v>
      </c>
      <c r="U407">
        <v>9</v>
      </c>
      <c r="V407">
        <v>9</v>
      </c>
      <c r="W407">
        <v>79</v>
      </c>
      <c r="X407" t="s">
        <v>30</v>
      </c>
      <c r="Y407" t="s">
        <v>31</v>
      </c>
      <c r="Z407" t="s">
        <v>29</v>
      </c>
    </row>
    <row r="408" spans="1:26" ht="30" customHeight="1">
      <c r="A408">
        <v>605546223</v>
      </c>
      <c r="B408">
        <f>COUNTIF(A:A,A408)</f>
        <v>1</v>
      </c>
      <c r="C408" s="1">
        <f t="shared" ca="1" si="30"/>
        <v>19850</v>
      </c>
      <c r="D408" s="1">
        <v>45085</v>
      </c>
      <c r="E408" s="4">
        <f ca="1">DATEDIF(Table1[[#This Row],[DOB]],Table1[[#This Row],[eventDate]],"Y")</f>
        <v>69</v>
      </c>
      <c r="F408" s="4" t="str">
        <f t="shared" si="31"/>
        <v>Woman</v>
      </c>
      <c r="G408" s="4">
        <f ca="1">_xlfn.DAYS(TODAY(),Table1[[#This Row],[eventDate]])</f>
        <v>1028</v>
      </c>
      <c r="H408" t="s">
        <v>38</v>
      </c>
      <c r="I408" t="s">
        <v>28</v>
      </c>
      <c r="J408" t="s">
        <v>29</v>
      </c>
      <c r="K408" s="1">
        <v>45101</v>
      </c>
      <c r="L408">
        <f t="shared" si="32"/>
        <v>16</v>
      </c>
      <c r="M408">
        <f>IF(Table1[[#This Row],[Alive]]="No",Table1[[#This Row],[daysDeath]],Table1[[#This Row],[daysSince]])</f>
        <v>16</v>
      </c>
      <c r="N408">
        <v>94</v>
      </c>
      <c r="O408">
        <v>19.7</v>
      </c>
      <c r="P408">
        <v>283</v>
      </c>
      <c r="Q408">
        <v>12</v>
      </c>
      <c r="R408">
        <v>6.4</v>
      </c>
      <c r="S408">
        <v>63</v>
      </c>
      <c r="T408">
        <v>267</v>
      </c>
      <c r="U408">
        <v>21</v>
      </c>
      <c r="V408">
        <v>35</v>
      </c>
      <c r="W408">
        <v>69.5</v>
      </c>
      <c r="X408" t="s">
        <v>30</v>
      </c>
      <c r="Y408" t="s">
        <v>29</v>
      </c>
      <c r="Z408" t="s">
        <v>31</v>
      </c>
    </row>
    <row r="409" spans="1:26" ht="30" customHeight="1">
      <c r="A409">
        <v>1701376180</v>
      </c>
      <c r="B409">
        <f>COUNTIF(A:A,A409)</f>
        <v>1</v>
      </c>
      <c r="C409" s="1">
        <f t="shared" ca="1" si="30"/>
        <v>13532</v>
      </c>
      <c r="D409" s="1">
        <v>45085</v>
      </c>
      <c r="E409" s="4">
        <f ca="1">DATEDIF(Table1[[#This Row],[DOB]],Table1[[#This Row],[eventDate]],"Y")</f>
        <v>86</v>
      </c>
      <c r="F409" s="4" t="str">
        <f t="shared" si="31"/>
        <v>Woman</v>
      </c>
      <c r="G409" s="4">
        <f ca="1">_xlfn.DAYS(TODAY(),Table1[[#This Row],[eventDate]])</f>
        <v>1028</v>
      </c>
      <c r="H409" t="s">
        <v>32</v>
      </c>
      <c r="I409" t="s">
        <v>28</v>
      </c>
      <c r="J409" t="s">
        <v>29</v>
      </c>
      <c r="K409" s="1">
        <v>45106</v>
      </c>
      <c r="L409">
        <f t="shared" si="32"/>
        <v>21</v>
      </c>
      <c r="M409">
        <f>IF(Table1[[#This Row],[Alive]]="No",Table1[[#This Row],[daysDeath]],Table1[[#This Row],[daysSince]])</f>
        <v>21</v>
      </c>
      <c r="N409">
        <v>92</v>
      </c>
      <c r="O409">
        <v>11.8</v>
      </c>
      <c r="P409">
        <v>208</v>
      </c>
      <c r="Q409">
        <v>15</v>
      </c>
      <c r="R409">
        <v>2.9</v>
      </c>
      <c r="S409">
        <v>64</v>
      </c>
      <c r="T409">
        <v>165</v>
      </c>
      <c r="U409">
        <v>20</v>
      </c>
      <c r="V409">
        <v>40</v>
      </c>
      <c r="X409" t="s">
        <v>30</v>
      </c>
      <c r="Y409" t="s">
        <v>31</v>
      </c>
      <c r="Z409" t="s">
        <v>29</v>
      </c>
    </row>
    <row r="410" spans="1:26" ht="30" customHeight="1">
      <c r="A410">
        <v>1409666409</v>
      </c>
      <c r="B410">
        <f>COUNTIF(A:A,A410)</f>
        <v>1</v>
      </c>
      <c r="C410" s="1">
        <f t="shared" ca="1" si="30"/>
        <v>24364</v>
      </c>
      <c r="D410" s="1">
        <v>45092</v>
      </c>
      <c r="E410" s="4">
        <f ca="1">DATEDIF(Table1[[#This Row],[DOB]],Table1[[#This Row],[eventDate]],"Y")</f>
        <v>56</v>
      </c>
      <c r="F410" s="4" t="str">
        <f t="shared" si="31"/>
        <v>Woman</v>
      </c>
      <c r="G410" s="4">
        <f ca="1">_xlfn.DAYS(TODAY(),Table1[[#This Row],[eventDate]])</f>
        <v>1021</v>
      </c>
      <c r="H410" t="s">
        <v>27</v>
      </c>
      <c r="I410" t="s">
        <v>28</v>
      </c>
      <c r="J410" t="s">
        <v>29</v>
      </c>
      <c r="K410" s="1">
        <v>45118</v>
      </c>
      <c r="L410">
        <f t="shared" si="32"/>
        <v>26</v>
      </c>
      <c r="M410">
        <f>IF(Table1[[#This Row],[Alive]]="No",Table1[[#This Row],[daysDeath]],Table1[[#This Row],[daysSince]])</f>
        <v>26</v>
      </c>
      <c r="N410">
        <v>88</v>
      </c>
      <c r="O410">
        <v>15.6</v>
      </c>
      <c r="P410">
        <v>184</v>
      </c>
      <c r="Q410">
        <v>13</v>
      </c>
      <c r="R410">
        <v>2.6</v>
      </c>
      <c r="S410">
        <v>34</v>
      </c>
      <c r="T410">
        <v>404</v>
      </c>
      <c r="U410">
        <v>17</v>
      </c>
      <c r="V410">
        <v>159</v>
      </c>
      <c r="W410">
        <v>64.400000000000006</v>
      </c>
      <c r="X410" t="s">
        <v>30</v>
      </c>
      <c r="Y410" t="s">
        <v>29</v>
      </c>
      <c r="Z410" t="s">
        <v>29</v>
      </c>
    </row>
    <row r="411" spans="1:26" ht="30" customHeight="1">
      <c r="A411">
        <v>205920667</v>
      </c>
      <c r="B411">
        <f>COUNTIF(A:A,A411)</f>
        <v>1</v>
      </c>
      <c r="C411" s="1">
        <f t="shared" ca="1" si="30"/>
        <v>33726</v>
      </c>
      <c r="D411" s="1">
        <v>45114</v>
      </c>
      <c r="E411" s="4">
        <f ca="1">DATEDIF(Table1[[#This Row],[DOB]],Table1[[#This Row],[eventDate]],"Y")</f>
        <v>31</v>
      </c>
      <c r="F411" s="4" t="str">
        <f t="shared" si="31"/>
        <v>Woman</v>
      </c>
      <c r="G411" s="4">
        <f ca="1">_xlfn.DAYS(TODAY(),Table1[[#This Row],[eventDate]])</f>
        <v>999</v>
      </c>
      <c r="H411" t="s">
        <v>32</v>
      </c>
      <c r="I411" t="s">
        <v>34</v>
      </c>
      <c r="J411" t="s">
        <v>29</v>
      </c>
      <c r="K411" s="1">
        <v>45161</v>
      </c>
      <c r="L411">
        <f t="shared" si="32"/>
        <v>47</v>
      </c>
      <c r="M411">
        <f>IF(Table1[[#This Row],[Alive]]="No",Table1[[#This Row],[daysDeath]],Table1[[#This Row],[daysSince]])</f>
        <v>47</v>
      </c>
      <c r="N411">
        <v>115</v>
      </c>
      <c r="O411">
        <v>7.7</v>
      </c>
      <c r="P411">
        <v>315</v>
      </c>
      <c r="Q411">
        <v>14</v>
      </c>
      <c r="R411">
        <v>1.6</v>
      </c>
      <c r="S411">
        <v>53</v>
      </c>
      <c r="T411">
        <v>179</v>
      </c>
      <c r="U411">
        <v>25</v>
      </c>
      <c r="V411">
        <v>25</v>
      </c>
      <c r="W411">
        <v>71</v>
      </c>
      <c r="X411" t="s">
        <v>30</v>
      </c>
      <c r="Y411" t="s">
        <v>29</v>
      </c>
      <c r="Z411" t="s">
        <v>29</v>
      </c>
    </row>
    <row r="412" spans="1:26" ht="30" customHeight="1">
      <c r="A412">
        <v>504506013</v>
      </c>
      <c r="B412">
        <f>COUNTIF(A:A,A412)</f>
        <v>1</v>
      </c>
      <c r="C412" s="1">
        <f t="shared" ca="1" si="30"/>
        <v>18358</v>
      </c>
      <c r="D412" s="1">
        <v>45133</v>
      </c>
      <c r="E412" s="4">
        <f ca="1">DATEDIF(Table1[[#This Row],[DOB]],Table1[[#This Row],[eventDate]],"Y")</f>
        <v>73</v>
      </c>
      <c r="F412" s="4" t="str">
        <f t="shared" si="31"/>
        <v>Man</v>
      </c>
      <c r="G412" s="4">
        <f ca="1">_xlfn.DAYS(TODAY(),Table1[[#This Row],[eventDate]])</f>
        <v>980</v>
      </c>
      <c r="H412" t="s">
        <v>36</v>
      </c>
      <c r="I412" t="s">
        <v>34</v>
      </c>
      <c r="J412" t="s">
        <v>29</v>
      </c>
      <c r="K412" s="1">
        <v>45233</v>
      </c>
      <c r="L412">
        <f t="shared" si="32"/>
        <v>100</v>
      </c>
      <c r="M412">
        <f>IF(Table1[[#This Row],[Alive]]="No",Table1[[#This Row],[daysDeath]],Table1[[#This Row],[daysSince]])</f>
        <v>100</v>
      </c>
      <c r="N412">
        <v>122</v>
      </c>
      <c r="O412">
        <v>14.3</v>
      </c>
      <c r="P412">
        <v>405</v>
      </c>
      <c r="Q412">
        <v>19</v>
      </c>
      <c r="R412">
        <v>4.0999999999999996</v>
      </c>
      <c r="S412">
        <v>84</v>
      </c>
      <c r="T412">
        <v>217</v>
      </c>
      <c r="U412">
        <v>20</v>
      </c>
      <c r="V412">
        <v>305</v>
      </c>
      <c r="W412">
        <v>67</v>
      </c>
      <c r="X412" t="s">
        <v>30</v>
      </c>
      <c r="Y412" t="s">
        <v>29</v>
      </c>
      <c r="Z412" t="s">
        <v>29</v>
      </c>
    </row>
    <row r="413" spans="1:26" ht="30" customHeight="1">
      <c r="A413">
        <v>403555531</v>
      </c>
      <c r="B413">
        <f>COUNTIF(A:A,A413)</f>
        <v>1</v>
      </c>
      <c r="C413" s="1">
        <f t="shared" ca="1" si="30"/>
        <v>20152</v>
      </c>
      <c r="D413" s="1">
        <v>45147</v>
      </c>
      <c r="E413" s="4">
        <f ca="1">DATEDIF(Table1[[#This Row],[DOB]],Table1[[#This Row],[eventDate]],"Y")</f>
        <v>68</v>
      </c>
      <c r="F413" s="4" t="str">
        <f t="shared" si="31"/>
        <v>Man</v>
      </c>
      <c r="G413" s="4">
        <f ca="1">_xlfn.DAYS(TODAY(),Table1[[#This Row],[eventDate]])</f>
        <v>966</v>
      </c>
      <c r="H413" t="s">
        <v>32</v>
      </c>
      <c r="I413" t="s">
        <v>34</v>
      </c>
      <c r="J413" t="s">
        <v>29</v>
      </c>
      <c r="K413" s="1">
        <v>45232</v>
      </c>
      <c r="L413">
        <f t="shared" si="32"/>
        <v>85</v>
      </c>
      <c r="M413">
        <f>IF(Table1[[#This Row],[Alive]]="No",Table1[[#This Row],[daysDeath]],Table1[[#This Row],[daysSince]])</f>
        <v>85</v>
      </c>
      <c r="N413">
        <v>97</v>
      </c>
      <c r="O413">
        <v>6.6</v>
      </c>
      <c r="P413">
        <v>383</v>
      </c>
      <c r="Q413">
        <v>13</v>
      </c>
      <c r="R413">
        <v>3.7</v>
      </c>
      <c r="S413">
        <v>80</v>
      </c>
      <c r="T413">
        <v>245</v>
      </c>
      <c r="U413">
        <v>26</v>
      </c>
      <c r="V413">
        <v>66</v>
      </c>
      <c r="W413">
        <v>59</v>
      </c>
      <c r="X413" t="s">
        <v>30</v>
      </c>
      <c r="Y413" t="s">
        <v>29</v>
      </c>
      <c r="Z413" t="s">
        <v>29</v>
      </c>
    </row>
    <row r="414" spans="1:26" ht="30" customHeight="1">
      <c r="A414">
        <v>1608896439</v>
      </c>
      <c r="B414">
        <f>COUNTIF(A:A,A414)</f>
        <v>1</v>
      </c>
      <c r="C414" s="1">
        <f t="shared" ref="C414:C447" ca="1" si="33">DATE(
    IF(VALUE(MID(TEXT(A414,"0000000000"),5,2)) &gt; VALUE(TEXT(TODAY(),"YY")),
       1900 + VALUE(MID(TEXT(A414,"0000000000"),5,2)),
       2000 + VALUE(MID(TEXT(A414,"0000000000"),5,2))
    ),
    VALUE(MID(TEXT(A414,"0000000000"),3,2)),
    VALUE(LEFT(TEXT(A414,"0000000000"),2))
)</f>
        <v>32736</v>
      </c>
      <c r="D414" s="1">
        <v>45155</v>
      </c>
      <c r="E414" s="4">
        <f ca="1">DATEDIF(Table1[[#This Row],[DOB]],Table1[[#This Row],[eventDate]],"Y")</f>
        <v>34</v>
      </c>
      <c r="F414" s="4" t="str">
        <f t="shared" ref="F414:F447" si="34">IF(MOD(VALUE(MID(TEXT(A414,"0000000000"),9,1)),2)=0,"Woman","Man")</f>
        <v>Man</v>
      </c>
      <c r="G414" s="4">
        <f ca="1">_xlfn.DAYS(TODAY(),Table1[[#This Row],[eventDate]])</f>
        <v>958</v>
      </c>
      <c r="H414" t="s">
        <v>27</v>
      </c>
      <c r="I414" t="s">
        <v>28</v>
      </c>
      <c r="J414" t="s">
        <v>29</v>
      </c>
      <c r="K414" s="1">
        <v>45170</v>
      </c>
      <c r="L414">
        <f t="shared" ref="L414:L447" si="35">IF(J414="No",_xlfn.DAYS(K414,D414),"")</f>
        <v>15</v>
      </c>
      <c r="M414">
        <f>IF(Table1[[#This Row],[Alive]]="No",Table1[[#This Row],[daysDeath]],Table1[[#This Row],[daysSince]])</f>
        <v>15</v>
      </c>
      <c r="N414">
        <v>111</v>
      </c>
      <c r="O414">
        <v>13</v>
      </c>
      <c r="P414">
        <v>575</v>
      </c>
      <c r="Q414">
        <v>17</v>
      </c>
      <c r="R414">
        <v>2.9</v>
      </c>
      <c r="S414">
        <v>59</v>
      </c>
      <c r="T414">
        <v>75</v>
      </c>
      <c r="U414">
        <v>19</v>
      </c>
      <c r="V414">
        <v>143</v>
      </c>
      <c r="W414">
        <v>107</v>
      </c>
      <c r="X414" t="s">
        <v>30</v>
      </c>
      <c r="Y414" t="s">
        <v>29</v>
      </c>
      <c r="Z414" t="s">
        <v>29</v>
      </c>
    </row>
    <row r="415" spans="1:26" ht="30" customHeight="1">
      <c r="A415">
        <v>2011456444</v>
      </c>
      <c r="B415">
        <f>COUNTIF(A:A,A415)</f>
        <v>1</v>
      </c>
      <c r="C415" s="1">
        <f t="shared" ca="1" si="33"/>
        <v>16761</v>
      </c>
      <c r="D415" s="1">
        <v>45197</v>
      </c>
      <c r="E415" s="4">
        <f ca="1">DATEDIF(Table1[[#This Row],[DOB]],Table1[[#This Row],[eventDate]],"Y")</f>
        <v>77</v>
      </c>
      <c r="F415" s="4" t="str">
        <f t="shared" si="34"/>
        <v>Woman</v>
      </c>
      <c r="G415" s="4">
        <f ca="1">_xlfn.DAYS(TODAY(),Table1[[#This Row],[eventDate]])</f>
        <v>916</v>
      </c>
      <c r="H415" t="s">
        <v>27</v>
      </c>
      <c r="I415" t="s">
        <v>34</v>
      </c>
      <c r="J415" t="s">
        <v>29</v>
      </c>
      <c r="K415" s="1">
        <v>45262</v>
      </c>
      <c r="L415">
        <f t="shared" si="35"/>
        <v>65</v>
      </c>
      <c r="M415">
        <f>IF(Table1[[#This Row],[Alive]]="No",Table1[[#This Row],[daysDeath]],Table1[[#This Row],[daysSince]])</f>
        <v>65</v>
      </c>
      <c r="N415">
        <v>105</v>
      </c>
      <c r="O415">
        <v>7.7</v>
      </c>
      <c r="P415">
        <v>214</v>
      </c>
      <c r="Q415">
        <v>12</v>
      </c>
      <c r="R415">
        <v>3.4</v>
      </c>
      <c r="S415">
        <v>52</v>
      </c>
      <c r="T415">
        <v>293</v>
      </c>
      <c r="U415">
        <v>18</v>
      </c>
      <c r="V415">
        <v>87</v>
      </c>
      <c r="W415">
        <v>51.3</v>
      </c>
      <c r="X415" t="s">
        <v>30</v>
      </c>
      <c r="Y415" t="s">
        <v>29</v>
      </c>
      <c r="Z415" t="s">
        <v>29</v>
      </c>
    </row>
    <row r="416" spans="1:26" ht="30" customHeight="1">
      <c r="A416">
        <v>110726278</v>
      </c>
      <c r="B416">
        <f>COUNTIF(A:A,A416)</f>
        <v>1</v>
      </c>
      <c r="C416" s="1">
        <f t="shared" ca="1" si="33"/>
        <v>26573</v>
      </c>
      <c r="D416" s="1">
        <v>45223</v>
      </c>
      <c r="E416" s="4">
        <f ca="1">DATEDIF(Table1[[#This Row],[DOB]],Table1[[#This Row],[eventDate]],"Y")</f>
        <v>51</v>
      </c>
      <c r="F416" s="4" t="str">
        <f t="shared" si="34"/>
        <v>Man</v>
      </c>
      <c r="G416" s="4">
        <f ca="1">_xlfn.DAYS(TODAY(),Table1[[#This Row],[eventDate]])</f>
        <v>890</v>
      </c>
      <c r="H416" t="s">
        <v>32</v>
      </c>
      <c r="I416" t="s">
        <v>28</v>
      </c>
      <c r="J416" t="s">
        <v>29</v>
      </c>
      <c r="K416" s="1">
        <v>45229</v>
      </c>
      <c r="L416">
        <f t="shared" si="35"/>
        <v>6</v>
      </c>
      <c r="M416">
        <f>IF(Table1[[#This Row],[Alive]]="No",Table1[[#This Row],[daysDeath]],Table1[[#This Row],[daysSince]])</f>
        <v>6</v>
      </c>
      <c r="N416">
        <v>77</v>
      </c>
      <c r="O416">
        <v>16.8</v>
      </c>
      <c r="P416">
        <v>261</v>
      </c>
      <c r="Q416">
        <v>19</v>
      </c>
      <c r="R416">
        <v>9.3000000000000007</v>
      </c>
      <c r="S416">
        <v>203</v>
      </c>
      <c r="T416">
        <v>199</v>
      </c>
      <c r="U416">
        <v>10</v>
      </c>
      <c r="V416">
        <v>131</v>
      </c>
      <c r="W416">
        <v>78.2</v>
      </c>
      <c r="X416" t="s">
        <v>33</v>
      </c>
      <c r="Y416" t="s">
        <v>29</v>
      </c>
      <c r="Z416" t="s">
        <v>31</v>
      </c>
    </row>
    <row r="417" spans="1:27" ht="30" customHeight="1">
      <c r="A417">
        <v>2512626075</v>
      </c>
      <c r="B417">
        <f>COUNTIF(A:A,A417)</f>
        <v>1</v>
      </c>
      <c r="C417" s="1">
        <f t="shared" ca="1" si="33"/>
        <v>23005</v>
      </c>
      <c r="D417" s="1">
        <v>45246</v>
      </c>
      <c r="E417" s="4">
        <f ca="1">DATEDIF(Table1[[#This Row],[DOB]],Table1[[#This Row],[eventDate]],"Y")</f>
        <v>60</v>
      </c>
      <c r="F417" s="4" t="str">
        <f t="shared" si="34"/>
        <v>Man</v>
      </c>
      <c r="G417" s="4">
        <f ca="1">_xlfn.DAYS(TODAY(),Table1[[#This Row],[eventDate]])</f>
        <v>867</v>
      </c>
      <c r="H417" t="s">
        <v>32</v>
      </c>
      <c r="I417" t="s">
        <v>28</v>
      </c>
      <c r="J417" t="s">
        <v>29</v>
      </c>
      <c r="K417" s="1">
        <v>45357</v>
      </c>
      <c r="L417">
        <f t="shared" si="35"/>
        <v>111</v>
      </c>
      <c r="M417">
        <f>IF(Table1[[#This Row],[Alive]]="No",Table1[[#This Row],[daysDeath]],Table1[[#This Row],[daysSince]])</f>
        <v>111</v>
      </c>
      <c r="N417">
        <v>87</v>
      </c>
      <c r="O417">
        <v>5.4</v>
      </c>
      <c r="P417">
        <v>348</v>
      </c>
      <c r="Q417">
        <v>12</v>
      </c>
      <c r="R417">
        <v>3.8</v>
      </c>
      <c r="S417">
        <v>66</v>
      </c>
      <c r="T417">
        <v>227</v>
      </c>
      <c r="U417">
        <v>23</v>
      </c>
      <c r="V417">
        <v>34</v>
      </c>
      <c r="W417">
        <v>95.5</v>
      </c>
      <c r="X417" t="s">
        <v>30</v>
      </c>
      <c r="Y417" t="s">
        <v>29</v>
      </c>
      <c r="Z417" t="s">
        <v>29</v>
      </c>
    </row>
    <row r="418" spans="1:27" ht="30" customHeight="1">
      <c r="A418">
        <v>401623238</v>
      </c>
      <c r="B418">
        <f>COUNTIF(A:A,A418)</f>
        <v>1</v>
      </c>
      <c r="C418" s="1">
        <f t="shared" ca="1" si="33"/>
        <v>22650</v>
      </c>
      <c r="D418" s="1">
        <v>45251</v>
      </c>
      <c r="E418" s="4">
        <f ca="1">DATEDIF(Table1[[#This Row],[DOB]],Table1[[#This Row],[eventDate]],"Y")</f>
        <v>61</v>
      </c>
      <c r="F418" s="4" t="str">
        <f t="shared" si="34"/>
        <v>Man</v>
      </c>
      <c r="G418" s="4">
        <f ca="1">_xlfn.DAYS(TODAY(),Table1[[#This Row],[eventDate]])</f>
        <v>862</v>
      </c>
      <c r="H418" t="s">
        <v>32</v>
      </c>
      <c r="I418" t="s">
        <v>28</v>
      </c>
      <c r="J418" t="s">
        <v>29</v>
      </c>
      <c r="K418" s="1">
        <v>45377</v>
      </c>
      <c r="L418">
        <f t="shared" si="35"/>
        <v>126</v>
      </c>
      <c r="M418">
        <f>IF(Table1[[#This Row],[Alive]]="No",Table1[[#This Row],[daysDeath]],Table1[[#This Row],[daysSince]])</f>
        <v>126</v>
      </c>
      <c r="N418">
        <v>109</v>
      </c>
      <c r="O418">
        <v>9.9</v>
      </c>
      <c r="P418">
        <v>243</v>
      </c>
      <c r="Q418">
        <v>14</v>
      </c>
      <c r="R418">
        <v>2.9</v>
      </c>
      <c r="S418">
        <v>72</v>
      </c>
      <c r="T418">
        <v>269</v>
      </c>
      <c r="U418">
        <v>15</v>
      </c>
      <c r="V418">
        <v>120</v>
      </c>
      <c r="W418">
        <v>115</v>
      </c>
      <c r="X418" t="s">
        <v>30</v>
      </c>
      <c r="Y418" t="s">
        <v>31</v>
      </c>
      <c r="Z418" t="s">
        <v>29</v>
      </c>
    </row>
    <row r="419" spans="1:27" ht="30" customHeight="1">
      <c r="A419">
        <v>2803486431</v>
      </c>
      <c r="B419">
        <f>COUNTIF(A:A,A419)</f>
        <v>1</v>
      </c>
      <c r="C419" s="1">
        <f t="shared" ca="1" si="33"/>
        <v>17620</v>
      </c>
      <c r="D419" s="1">
        <v>45260</v>
      </c>
      <c r="E419" s="4">
        <f ca="1">DATEDIF(Table1[[#This Row],[DOB]],Table1[[#This Row],[eventDate]],"Y")</f>
        <v>75</v>
      </c>
      <c r="F419" s="4" t="str">
        <f t="shared" si="34"/>
        <v>Man</v>
      </c>
      <c r="G419" s="4">
        <f ca="1">_xlfn.DAYS(TODAY(),Table1[[#This Row],[eventDate]])</f>
        <v>853</v>
      </c>
      <c r="H419" t="s">
        <v>32</v>
      </c>
      <c r="I419" t="s">
        <v>28</v>
      </c>
      <c r="J419" t="s">
        <v>29</v>
      </c>
      <c r="K419" s="1">
        <v>45522</v>
      </c>
      <c r="L419">
        <f t="shared" si="35"/>
        <v>262</v>
      </c>
      <c r="M419">
        <f>IF(Table1[[#This Row],[Alive]]="No",Table1[[#This Row],[daysDeath]],Table1[[#This Row],[daysSince]])</f>
        <v>262</v>
      </c>
      <c r="N419">
        <v>122</v>
      </c>
      <c r="O419">
        <v>6</v>
      </c>
      <c r="P419">
        <v>222</v>
      </c>
      <c r="Q419">
        <v>12</v>
      </c>
      <c r="R419">
        <v>3.8</v>
      </c>
      <c r="S419">
        <v>63</v>
      </c>
      <c r="T419">
        <v>114</v>
      </c>
      <c r="U419">
        <v>26</v>
      </c>
      <c r="V419">
        <v>21</v>
      </c>
      <c r="W419">
        <v>91.6</v>
      </c>
      <c r="X419" t="s">
        <v>30</v>
      </c>
      <c r="Y419" t="s">
        <v>31</v>
      </c>
      <c r="Z419" t="s">
        <v>29</v>
      </c>
    </row>
    <row r="420" spans="1:27" ht="30" customHeight="1">
      <c r="A420">
        <v>209606568</v>
      </c>
      <c r="B420">
        <f>COUNTIF(A:A,A420)</f>
        <v>1</v>
      </c>
      <c r="C420" s="1">
        <f t="shared" ca="1" si="33"/>
        <v>22161</v>
      </c>
      <c r="D420" s="1">
        <v>45288</v>
      </c>
      <c r="E420" s="4">
        <f ca="1">DATEDIF(Table1[[#This Row],[DOB]],Table1[[#This Row],[eventDate]],"Y")</f>
        <v>63</v>
      </c>
      <c r="F420" s="4" t="str">
        <f t="shared" si="34"/>
        <v>Woman</v>
      </c>
      <c r="G420" s="4">
        <f ca="1">_xlfn.DAYS(TODAY(),Table1[[#This Row],[eventDate]])</f>
        <v>825</v>
      </c>
      <c r="H420" t="s">
        <v>32</v>
      </c>
      <c r="I420" t="s">
        <v>28</v>
      </c>
      <c r="J420" t="s">
        <v>31</v>
      </c>
      <c r="L420" t="str">
        <f t="shared" si="35"/>
        <v/>
      </c>
      <c r="M420">
        <f ca="1">IF(Table1[[#This Row],[Alive]]="No",Table1[[#This Row],[daysDeath]],Table1[[#This Row],[daysSince]])</f>
        <v>825</v>
      </c>
      <c r="N420">
        <v>81</v>
      </c>
      <c r="O420">
        <v>9.4</v>
      </c>
      <c r="P420">
        <v>426</v>
      </c>
      <c r="Q420">
        <v>13</v>
      </c>
      <c r="R420">
        <v>5.8</v>
      </c>
      <c r="S420">
        <v>48</v>
      </c>
      <c r="T420">
        <v>201</v>
      </c>
      <c r="U420">
        <v>28</v>
      </c>
      <c r="V420">
        <v>16</v>
      </c>
      <c r="W420">
        <v>87.8</v>
      </c>
      <c r="X420" t="s">
        <v>30</v>
      </c>
      <c r="Y420" t="s">
        <v>31</v>
      </c>
      <c r="Z420" t="s">
        <v>29</v>
      </c>
    </row>
    <row r="421" spans="1:27" ht="30" customHeight="1">
      <c r="A421">
        <v>1410565726</v>
      </c>
      <c r="B421">
        <f>COUNTIF(A:A,A421)</f>
        <v>1</v>
      </c>
      <c r="C421" s="1">
        <f t="shared" ca="1" si="33"/>
        <v>20742</v>
      </c>
      <c r="D421" s="1">
        <v>45307</v>
      </c>
      <c r="E421" s="4">
        <f ca="1">DATEDIF(Table1[[#This Row],[DOB]],Table1[[#This Row],[eventDate]],"Y")</f>
        <v>67</v>
      </c>
      <c r="F421" s="4" t="str">
        <f t="shared" si="34"/>
        <v>Woman</v>
      </c>
      <c r="G421" s="4">
        <f ca="1">_xlfn.DAYS(TODAY(),Table1[[#This Row],[eventDate]])</f>
        <v>806</v>
      </c>
      <c r="H421" t="s">
        <v>27</v>
      </c>
      <c r="I421" t="s">
        <v>28</v>
      </c>
      <c r="J421" t="s">
        <v>31</v>
      </c>
      <c r="L421" t="str">
        <f t="shared" si="35"/>
        <v/>
      </c>
      <c r="M421">
        <f ca="1">IF(Table1[[#This Row],[Alive]]="No",Table1[[#This Row],[daysDeath]],Table1[[#This Row],[daysSince]])</f>
        <v>806</v>
      </c>
      <c r="N421">
        <v>80</v>
      </c>
      <c r="O421">
        <v>4</v>
      </c>
      <c r="P421">
        <v>124</v>
      </c>
      <c r="Q421">
        <v>13</v>
      </c>
      <c r="R421">
        <v>5.0999999999999996</v>
      </c>
      <c r="S421">
        <v>59</v>
      </c>
      <c r="T421">
        <v>27</v>
      </c>
      <c r="U421">
        <v>24</v>
      </c>
      <c r="V421">
        <v>23</v>
      </c>
      <c r="W421">
        <v>51</v>
      </c>
      <c r="X421" t="s">
        <v>33</v>
      </c>
      <c r="Y421" t="s">
        <v>29</v>
      </c>
      <c r="Z421" t="s">
        <v>29</v>
      </c>
    </row>
    <row r="422" spans="1:27" ht="30" customHeight="1">
      <c r="A422">
        <v>1206596074</v>
      </c>
      <c r="B422">
        <f>COUNTIF(A:A,A422)</f>
        <v>1</v>
      </c>
      <c r="C422" s="1">
        <f t="shared" ca="1" si="33"/>
        <v>21713</v>
      </c>
      <c r="D422" s="1">
        <v>45315</v>
      </c>
      <c r="E422" s="4">
        <f ca="1">DATEDIF(Table1[[#This Row],[DOB]],Table1[[#This Row],[eventDate]],"Y")</f>
        <v>64</v>
      </c>
      <c r="F422" s="4" t="str">
        <f t="shared" si="34"/>
        <v>Man</v>
      </c>
      <c r="G422" s="4">
        <f ca="1">_xlfn.DAYS(TODAY(),Table1[[#This Row],[eventDate]])</f>
        <v>798</v>
      </c>
      <c r="H422" t="s">
        <v>27</v>
      </c>
      <c r="I422" t="s">
        <v>34</v>
      </c>
      <c r="J422" t="s">
        <v>29</v>
      </c>
      <c r="K422" s="1">
        <v>45340</v>
      </c>
      <c r="L422">
        <f t="shared" si="35"/>
        <v>25</v>
      </c>
      <c r="M422">
        <f>IF(Table1[[#This Row],[Alive]]="No",Table1[[#This Row],[daysDeath]],Table1[[#This Row],[daysSince]])</f>
        <v>25</v>
      </c>
      <c r="N422">
        <v>89</v>
      </c>
      <c r="O422">
        <v>48.5</v>
      </c>
      <c r="P422">
        <v>424</v>
      </c>
      <c r="Q422">
        <v>14</v>
      </c>
      <c r="R422">
        <v>11.9</v>
      </c>
      <c r="S422">
        <v>107</v>
      </c>
      <c r="T422">
        <v>156</v>
      </c>
      <c r="U422">
        <v>14</v>
      </c>
      <c r="V422">
        <v>267</v>
      </c>
      <c r="W422">
        <v>64</v>
      </c>
      <c r="X422" t="s">
        <v>30</v>
      </c>
      <c r="Y422" t="s">
        <v>31</v>
      </c>
      <c r="Z422" t="s">
        <v>29</v>
      </c>
    </row>
    <row r="423" spans="1:27" ht="30" customHeight="1">
      <c r="A423">
        <v>1004663285</v>
      </c>
      <c r="B423">
        <f>COUNTIF(A:A,A423)</f>
        <v>1</v>
      </c>
      <c r="C423" s="1">
        <f t="shared" ca="1" si="33"/>
        <v>24207</v>
      </c>
      <c r="D423" s="1">
        <v>45322</v>
      </c>
      <c r="E423" s="4">
        <f ca="1">DATEDIF(Table1[[#This Row],[DOB]],Table1[[#This Row],[eventDate]],"Y")</f>
        <v>57</v>
      </c>
      <c r="F423" s="4" t="str">
        <f t="shared" si="34"/>
        <v>Woman</v>
      </c>
      <c r="G423" s="4">
        <f ca="1">_xlfn.DAYS(TODAY(),Table1[[#This Row],[eventDate]])</f>
        <v>791</v>
      </c>
      <c r="H423" t="s">
        <v>32</v>
      </c>
      <c r="I423" t="s">
        <v>28</v>
      </c>
      <c r="J423" t="s">
        <v>29</v>
      </c>
      <c r="K423" s="1">
        <v>45746</v>
      </c>
      <c r="L423">
        <f t="shared" si="35"/>
        <v>424</v>
      </c>
      <c r="M423">
        <f>IF(Table1[[#This Row],[Alive]]="No",Table1[[#This Row],[daysDeath]],Table1[[#This Row],[daysSince]])</f>
        <v>424</v>
      </c>
      <c r="N423">
        <v>123</v>
      </c>
      <c r="O423">
        <v>9.8000000000000007</v>
      </c>
      <c r="P423">
        <v>277</v>
      </c>
      <c r="Q423">
        <v>12</v>
      </c>
      <c r="R423">
        <v>2.4</v>
      </c>
      <c r="S423">
        <v>56</v>
      </c>
      <c r="T423">
        <v>460</v>
      </c>
      <c r="U423">
        <v>27</v>
      </c>
      <c r="V423">
        <v>34</v>
      </c>
      <c r="W423">
        <v>80</v>
      </c>
      <c r="X423" t="s">
        <v>30</v>
      </c>
      <c r="Y423" t="s">
        <v>31</v>
      </c>
      <c r="Z423" t="s">
        <v>29</v>
      </c>
    </row>
    <row r="424" spans="1:27" ht="30" customHeight="1">
      <c r="A424">
        <v>3009583613</v>
      </c>
      <c r="B424">
        <f>COUNTIF(A:A,A424)</f>
        <v>1</v>
      </c>
      <c r="C424" s="1">
        <f t="shared" ca="1" si="33"/>
        <v>21458</v>
      </c>
      <c r="D424" s="1">
        <v>45343</v>
      </c>
      <c r="E424" s="4">
        <f ca="1">DATEDIF(Table1[[#This Row],[DOB]],Table1[[#This Row],[eventDate]],"Y")</f>
        <v>65</v>
      </c>
      <c r="F424" s="4" t="str">
        <f t="shared" si="34"/>
        <v>Man</v>
      </c>
      <c r="G424" s="4">
        <f ca="1">_xlfn.DAYS(TODAY(),Table1[[#This Row],[eventDate]])</f>
        <v>770</v>
      </c>
      <c r="H424" t="s">
        <v>27</v>
      </c>
      <c r="I424" t="s">
        <v>34</v>
      </c>
      <c r="J424" t="s">
        <v>31</v>
      </c>
      <c r="L424" t="str">
        <f t="shared" si="35"/>
        <v/>
      </c>
      <c r="M424">
        <f ca="1">IF(Table1[[#This Row],[Alive]]="No",Table1[[#This Row],[daysDeath]],Table1[[#This Row],[daysSince]])</f>
        <v>770</v>
      </c>
      <c r="N424">
        <v>79</v>
      </c>
      <c r="O424">
        <v>15.7</v>
      </c>
      <c r="P424">
        <v>272</v>
      </c>
      <c r="Q424">
        <v>15</v>
      </c>
      <c r="R424">
        <v>16.2</v>
      </c>
      <c r="S424">
        <v>101</v>
      </c>
      <c r="T424">
        <v>350</v>
      </c>
      <c r="U424">
        <v>18</v>
      </c>
      <c r="V424">
        <v>223</v>
      </c>
      <c r="W424">
        <v>90</v>
      </c>
      <c r="X424" t="s">
        <v>33</v>
      </c>
      <c r="Y424" t="s">
        <v>29</v>
      </c>
      <c r="Z424" t="s">
        <v>29</v>
      </c>
    </row>
    <row r="425" spans="1:27" ht="30" customHeight="1">
      <c r="A425">
        <v>2101596024</v>
      </c>
      <c r="B425">
        <f>COUNTIF(A:A,A425)</f>
        <v>1</v>
      </c>
      <c r="C425" s="1">
        <f t="shared" ca="1" si="33"/>
        <v>21571</v>
      </c>
      <c r="D425" s="1">
        <v>45344</v>
      </c>
      <c r="E425" s="4">
        <f ca="1">DATEDIF(Table1[[#This Row],[DOB]],Table1[[#This Row],[eventDate]],"Y")</f>
        <v>65</v>
      </c>
      <c r="F425" s="4" t="str">
        <f t="shared" si="34"/>
        <v>Woman</v>
      </c>
      <c r="G425" s="4">
        <f ca="1">_xlfn.DAYS(TODAY(),Table1[[#This Row],[eventDate]])</f>
        <v>769</v>
      </c>
      <c r="H425" t="s">
        <v>32</v>
      </c>
      <c r="I425" t="s">
        <v>28</v>
      </c>
      <c r="J425" t="s">
        <v>29</v>
      </c>
      <c r="K425" s="1">
        <v>45425</v>
      </c>
      <c r="L425">
        <f t="shared" si="35"/>
        <v>81</v>
      </c>
      <c r="M425">
        <f>IF(Table1[[#This Row],[Alive]]="No",Table1[[#This Row],[daysDeath]],Table1[[#This Row],[daysSince]])</f>
        <v>81</v>
      </c>
      <c r="N425">
        <v>108</v>
      </c>
      <c r="O425">
        <v>10.9</v>
      </c>
      <c r="P425">
        <v>539</v>
      </c>
      <c r="Q425">
        <v>14</v>
      </c>
      <c r="R425">
        <v>3.5</v>
      </c>
      <c r="S425">
        <v>48</v>
      </c>
      <c r="T425">
        <v>251</v>
      </c>
      <c r="U425">
        <v>17</v>
      </c>
      <c r="V425">
        <v>25</v>
      </c>
      <c r="W425">
        <v>50</v>
      </c>
      <c r="X425" t="s">
        <v>30</v>
      </c>
      <c r="Y425" t="s">
        <v>29</v>
      </c>
      <c r="Z425" t="s">
        <v>29</v>
      </c>
    </row>
    <row r="426" spans="1:27" ht="30" customHeight="1">
      <c r="A426">
        <v>3006713265</v>
      </c>
      <c r="B426">
        <f>COUNTIF(A:A,A426)</f>
        <v>1</v>
      </c>
      <c r="C426" s="1">
        <f t="shared" ca="1" si="33"/>
        <v>26114</v>
      </c>
      <c r="D426" s="1">
        <v>45351</v>
      </c>
      <c r="E426" s="4">
        <f ca="1">DATEDIF(Table1[[#This Row],[DOB]],Table1[[#This Row],[eventDate]],"Y")</f>
        <v>52</v>
      </c>
      <c r="F426" s="4" t="str">
        <f t="shared" si="34"/>
        <v>Woman</v>
      </c>
      <c r="G426" s="4">
        <f ca="1">_xlfn.DAYS(TODAY(),Table1[[#This Row],[eventDate]])</f>
        <v>762</v>
      </c>
      <c r="H426" t="s">
        <v>27</v>
      </c>
      <c r="I426" t="s">
        <v>28</v>
      </c>
      <c r="J426" t="s">
        <v>29</v>
      </c>
      <c r="K426" s="1">
        <v>45513</v>
      </c>
      <c r="L426">
        <f t="shared" si="35"/>
        <v>162</v>
      </c>
      <c r="M426">
        <f>IF(Table1[[#This Row],[Alive]]="No",Table1[[#This Row],[daysDeath]],Table1[[#This Row],[daysSince]])</f>
        <v>162</v>
      </c>
      <c r="N426">
        <v>89</v>
      </c>
      <c r="O426">
        <v>5.9</v>
      </c>
      <c r="P426">
        <v>293</v>
      </c>
      <c r="Q426">
        <v>16</v>
      </c>
      <c r="R426">
        <v>2.4</v>
      </c>
      <c r="S426">
        <v>62</v>
      </c>
      <c r="T426">
        <v>153</v>
      </c>
      <c r="U426">
        <v>31</v>
      </c>
      <c r="V426">
        <v>11</v>
      </c>
      <c r="W426">
        <v>77</v>
      </c>
      <c r="X426" t="s">
        <v>30</v>
      </c>
      <c r="Y426" t="s">
        <v>29</v>
      </c>
      <c r="Z426" t="s">
        <v>29</v>
      </c>
    </row>
    <row r="427" spans="1:27" ht="30" customHeight="1">
      <c r="A427">
        <v>2912646723</v>
      </c>
      <c r="B427">
        <f>COUNTIF(A:A,A427)</f>
        <v>1</v>
      </c>
      <c r="C427" s="1">
        <f t="shared" ca="1" si="33"/>
        <v>23740</v>
      </c>
      <c r="D427" s="1">
        <v>45356</v>
      </c>
      <c r="E427" s="4">
        <f ca="1">DATEDIF(Table1[[#This Row],[DOB]],Table1[[#This Row],[eventDate]],"Y")</f>
        <v>59</v>
      </c>
      <c r="F427" s="4" t="str">
        <f t="shared" si="34"/>
        <v>Woman</v>
      </c>
      <c r="G427" s="4">
        <f ca="1">_xlfn.DAYS(TODAY(),Table1[[#This Row],[eventDate]])</f>
        <v>757</v>
      </c>
      <c r="H427" t="s">
        <v>32</v>
      </c>
      <c r="I427" t="s">
        <v>28</v>
      </c>
      <c r="J427" t="s">
        <v>29</v>
      </c>
      <c r="K427" s="1">
        <v>45450</v>
      </c>
      <c r="L427">
        <f t="shared" si="35"/>
        <v>94</v>
      </c>
      <c r="M427">
        <f>IF(Table1[[#This Row],[Alive]]="No",Table1[[#This Row],[daysDeath]],Table1[[#This Row],[daysSince]])</f>
        <v>94</v>
      </c>
      <c r="N427">
        <v>106</v>
      </c>
      <c r="O427">
        <v>5.0999999999999996</v>
      </c>
      <c r="P427">
        <v>369</v>
      </c>
      <c r="Q427">
        <v>12</v>
      </c>
      <c r="R427">
        <v>1.6</v>
      </c>
      <c r="S427">
        <v>28</v>
      </c>
      <c r="T427">
        <v>169</v>
      </c>
      <c r="U427">
        <v>23</v>
      </c>
      <c r="V427">
        <v>19</v>
      </c>
      <c r="W427">
        <v>43.85</v>
      </c>
      <c r="X427" t="s">
        <v>30</v>
      </c>
      <c r="Y427" t="s">
        <v>29</v>
      </c>
      <c r="Z427" t="s">
        <v>29</v>
      </c>
    </row>
    <row r="428" spans="1:27" ht="30" customHeight="1">
      <c r="A428">
        <v>2911543017</v>
      </c>
      <c r="B428">
        <f>COUNTIF(A:A,A428)</f>
        <v>1</v>
      </c>
      <c r="C428" s="1">
        <f t="shared" ca="1" si="33"/>
        <v>20057</v>
      </c>
      <c r="D428" s="1">
        <v>45365</v>
      </c>
      <c r="E428" s="4">
        <f ca="1">DATEDIF(Table1[[#This Row],[DOB]],Table1[[#This Row],[eventDate]],"Y")</f>
        <v>69</v>
      </c>
      <c r="F428" s="4" t="str">
        <f t="shared" si="34"/>
        <v>Man</v>
      </c>
      <c r="G428" s="4">
        <f ca="1">_xlfn.DAYS(TODAY(),Table1[[#This Row],[eventDate]])</f>
        <v>748</v>
      </c>
      <c r="H428" t="s">
        <v>32</v>
      </c>
      <c r="I428" t="s">
        <v>28</v>
      </c>
      <c r="J428" t="s">
        <v>29</v>
      </c>
      <c r="K428" s="1">
        <v>45725</v>
      </c>
      <c r="L428">
        <f t="shared" si="35"/>
        <v>360</v>
      </c>
      <c r="M428">
        <f>IF(Table1[[#This Row],[Alive]]="No",Table1[[#This Row],[daysDeath]],Table1[[#This Row],[daysSince]])</f>
        <v>360</v>
      </c>
      <c r="N428">
        <v>118</v>
      </c>
      <c r="O428">
        <v>12</v>
      </c>
      <c r="P428">
        <v>277</v>
      </c>
      <c r="Q428">
        <v>11</v>
      </c>
      <c r="R428">
        <v>8.6</v>
      </c>
      <c r="S428">
        <v>91</v>
      </c>
      <c r="T428">
        <v>25</v>
      </c>
      <c r="U428">
        <v>32</v>
      </c>
      <c r="V428">
        <v>26</v>
      </c>
      <c r="W428">
        <v>68</v>
      </c>
      <c r="X428" t="s">
        <v>30</v>
      </c>
      <c r="Y428" t="s">
        <v>29</v>
      </c>
      <c r="Z428" t="s">
        <v>29</v>
      </c>
    </row>
    <row r="429" spans="1:27" ht="30" customHeight="1">
      <c r="A429">
        <v>104606606</v>
      </c>
      <c r="B429">
        <f>COUNTIF(A:A,A429)</f>
        <v>1</v>
      </c>
      <c r="C429" s="1">
        <f t="shared" ca="1" si="33"/>
        <v>22007</v>
      </c>
      <c r="D429" s="1">
        <v>45379</v>
      </c>
      <c r="E429" s="4">
        <f ca="1">DATEDIF(Table1[[#This Row],[DOB]],Table1[[#This Row],[eventDate]],"Y")</f>
        <v>63</v>
      </c>
      <c r="F429" s="4" t="str">
        <f t="shared" si="34"/>
        <v>Woman</v>
      </c>
      <c r="G429" s="4">
        <f ca="1">_xlfn.DAYS(TODAY(),Table1[[#This Row],[eventDate]])</f>
        <v>734</v>
      </c>
      <c r="H429" t="s">
        <v>32</v>
      </c>
      <c r="I429" t="s">
        <v>28</v>
      </c>
      <c r="J429" t="s">
        <v>29</v>
      </c>
      <c r="K429" s="1">
        <v>45444</v>
      </c>
      <c r="L429">
        <f t="shared" si="35"/>
        <v>65</v>
      </c>
      <c r="M429">
        <f>IF(Table1[[#This Row],[Alive]]="No",Table1[[#This Row],[daysDeath]],Table1[[#This Row],[daysSince]])</f>
        <v>65</v>
      </c>
      <c r="N429">
        <v>94</v>
      </c>
      <c r="O429">
        <v>10.3</v>
      </c>
      <c r="P429">
        <v>287</v>
      </c>
      <c r="Q429">
        <v>12</v>
      </c>
      <c r="R429">
        <v>5.2</v>
      </c>
      <c r="S429">
        <v>70</v>
      </c>
      <c r="T429">
        <v>472</v>
      </c>
      <c r="U429">
        <v>20</v>
      </c>
      <c r="V429">
        <v>89</v>
      </c>
      <c r="W429">
        <v>81.599999999999994</v>
      </c>
      <c r="X429" t="s">
        <v>30</v>
      </c>
      <c r="Y429" t="s">
        <v>29</v>
      </c>
      <c r="Z429" t="s">
        <v>29</v>
      </c>
    </row>
    <row r="430" spans="1:27" ht="30" customHeight="1">
      <c r="A430">
        <v>2605546195</v>
      </c>
      <c r="B430">
        <f>COUNTIF(A:A,A430)</f>
        <v>1</v>
      </c>
      <c r="C430" s="1">
        <f t="shared" ca="1" si="33"/>
        <v>19870</v>
      </c>
      <c r="D430" s="1">
        <v>45385</v>
      </c>
      <c r="E430" s="4">
        <f ca="1">DATEDIF(Table1[[#This Row],[DOB]],Table1[[#This Row],[eventDate]],"Y")</f>
        <v>69</v>
      </c>
      <c r="F430" s="4" t="str">
        <f t="shared" si="34"/>
        <v>Man</v>
      </c>
      <c r="G430" s="4">
        <f ca="1">_xlfn.DAYS(TODAY(),Table1[[#This Row],[eventDate]])</f>
        <v>728</v>
      </c>
      <c r="H430" t="s">
        <v>27</v>
      </c>
      <c r="I430" t="s">
        <v>34</v>
      </c>
      <c r="J430" t="s">
        <v>29</v>
      </c>
      <c r="K430" s="1">
        <v>45572</v>
      </c>
      <c r="L430">
        <f t="shared" si="35"/>
        <v>187</v>
      </c>
      <c r="M430">
        <f>IF(Table1[[#This Row],[Alive]]="No",Table1[[#This Row],[daysDeath]],Table1[[#This Row],[daysSince]])</f>
        <v>187</v>
      </c>
      <c r="N430">
        <v>116</v>
      </c>
      <c r="O430">
        <v>8.1999999999999993</v>
      </c>
      <c r="P430">
        <v>198</v>
      </c>
      <c r="Q430">
        <v>12</v>
      </c>
      <c r="R430">
        <v>4</v>
      </c>
      <c r="S430">
        <v>52</v>
      </c>
      <c r="T430">
        <v>149</v>
      </c>
      <c r="U430">
        <v>25</v>
      </c>
      <c r="V430">
        <v>65</v>
      </c>
      <c r="W430">
        <v>70</v>
      </c>
      <c r="X430" t="s">
        <v>30</v>
      </c>
      <c r="Y430" t="s">
        <v>31</v>
      </c>
      <c r="Z430" t="s">
        <v>29</v>
      </c>
    </row>
    <row r="431" spans="1:27" ht="30" customHeight="1">
      <c r="A431">
        <v>1205586105</v>
      </c>
      <c r="B431">
        <f>COUNTIF(A:A,A431)</f>
        <v>1</v>
      </c>
      <c r="C431" s="1">
        <f t="shared" ca="1" si="33"/>
        <v>21317</v>
      </c>
      <c r="D431" s="1">
        <v>45400</v>
      </c>
      <c r="E431" s="4">
        <f ca="1">DATEDIF(Table1[[#This Row],[DOB]],Table1[[#This Row],[eventDate]],"Y")</f>
        <v>65</v>
      </c>
      <c r="F431" s="4" t="str">
        <f t="shared" si="34"/>
        <v>Woman</v>
      </c>
      <c r="G431" s="4">
        <f ca="1">_xlfn.DAYS(TODAY(),Table1[[#This Row],[eventDate]])</f>
        <v>713</v>
      </c>
      <c r="H431" t="s">
        <v>36</v>
      </c>
      <c r="I431" t="s">
        <v>34</v>
      </c>
      <c r="J431" t="s">
        <v>29</v>
      </c>
      <c r="K431" s="1">
        <v>45503</v>
      </c>
      <c r="L431">
        <f t="shared" si="35"/>
        <v>103</v>
      </c>
      <c r="M431">
        <f>IF(Table1[[#This Row],[Alive]]="No",Table1[[#This Row],[daysDeath]],Table1[[#This Row],[daysSince]])</f>
        <v>103</v>
      </c>
      <c r="N431">
        <v>100</v>
      </c>
      <c r="O431">
        <v>3.7</v>
      </c>
      <c r="P431">
        <v>276</v>
      </c>
      <c r="Q431">
        <v>14</v>
      </c>
      <c r="R431">
        <v>3.5</v>
      </c>
      <c r="S431">
        <v>51</v>
      </c>
      <c r="T431">
        <v>93</v>
      </c>
      <c r="U431">
        <v>26</v>
      </c>
      <c r="V431">
        <v>6</v>
      </c>
      <c r="X431" t="s">
        <v>30</v>
      </c>
      <c r="Y431" t="s">
        <v>31</v>
      </c>
      <c r="Z431" t="s">
        <v>29</v>
      </c>
      <c r="AA431" t="s">
        <v>50</v>
      </c>
    </row>
    <row r="432" spans="1:27" ht="30" customHeight="1">
      <c r="A432">
        <v>512366144</v>
      </c>
      <c r="B432">
        <f>COUNTIF(A:A,A432)</f>
        <v>1</v>
      </c>
      <c r="C432" s="1">
        <f t="shared" ca="1" si="33"/>
        <v>13489</v>
      </c>
      <c r="D432" s="1">
        <v>45404</v>
      </c>
      <c r="E432" s="4">
        <f ca="1">DATEDIF(Table1[[#This Row],[DOB]],Table1[[#This Row],[eventDate]],"Y")</f>
        <v>87</v>
      </c>
      <c r="F432" s="4" t="str">
        <f t="shared" si="34"/>
        <v>Woman</v>
      </c>
      <c r="G432" s="4">
        <f ca="1">_xlfn.DAYS(TODAY(),Table1[[#This Row],[eventDate]])</f>
        <v>709</v>
      </c>
      <c r="H432" t="s">
        <v>27</v>
      </c>
      <c r="I432" t="s">
        <v>34</v>
      </c>
      <c r="J432" t="s">
        <v>29</v>
      </c>
      <c r="K432" s="1">
        <v>45519</v>
      </c>
      <c r="L432">
        <f t="shared" si="35"/>
        <v>115</v>
      </c>
      <c r="M432">
        <f>IF(Table1[[#This Row],[Alive]]="No",Table1[[#This Row],[daysDeath]],Table1[[#This Row],[daysSince]])</f>
        <v>115</v>
      </c>
      <c r="N432">
        <v>120</v>
      </c>
      <c r="O432">
        <v>6</v>
      </c>
      <c r="P432">
        <v>214</v>
      </c>
      <c r="Q432">
        <v>12</v>
      </c>
      <c r="R432">
        <v>3</v>
      </c>
      <c r="S432">
        <v>49</v>
      </c>
      <c r="T432">
        <v>262</v>
      </c>
      <c r="U432">
        <v>25</v>
      </c>
      <c r="V432">
        <v>22</v>
      </c>
      <c r="W432">
        <v>80</v>
      </c>
      <c r="X432" t="s">
        <v>30</v>
      </c>
      <c r="Y432" t="s">
        <v>31</v>
      </c>
      <c r="Z432" t="s">
        <v>29</v>
      </c>
    </row>
    <row r="433" spans="1:26" ht="30" customHeight="1">
      <c r="A433">
        <v>1705615805</v>
      </c>
      <c r="B433">
        <f>COUNTIF(A:A,A433)</f>
        <v>1</v>
      </c>
      <c r="C433" s="1">
        <f t="shared" ca="1" si="33"/>
        <v>22418</v>
      </c>
      <c r="D433" s="1">
        <v>45428</v>
      </c>
      <c r="E433" s="4">
        <f ca="1">DATEDIF(Table1[[#This Row],[DOB]],Table1[[#This Row],[eventDate]],"Y")</f>
        <v>62</v>
      </c>
      <c r="F433" s="4" t="str">
        <f t="shared" si="34"/>
        <v>Woman</v>
      </c>
      <c r="G433" s="4">
        <f ca="1">_xlfn.DAYS(TODAY(),Table1[[#This Row],[eventDate]])</f>
        <v>685</v>
      </c>
      <c r="H433" t="s">
        <v>32</v>
      </c>
      <c r="I433" t="s">
        <v>34</v>
      </c>
      <c r="J433" t="s">
        <v>29</v>
      </c>
      <c r="K433" s="1">
        <v>45506</v>
      </c>
      <c r="L433">
        <f t="shared" si="35"/>
        <v>78</v>
      </c>
      <c r="M433">
        <f>IF(Table1[[#This Row],[Alive]]="No",Table1[[#This Row],[daysDeath]],Table1[[#This Row],[daysSince]])</f>
        <v>78</v>
      </c>
      <c r="N433">
        <v>97</v>
      </c>
      <c r="O433">
        <v>13.4</v>
      </c>
      <c r="P433">
        <v>421</v>
      </c>
      <c r="Q433">
        <v>11</v>
      </c>
      <c r="R433">
        <v>2.8</v>
      </c>
      <c r="S433">
        <v>24</v>
      </c>
      <c r="T433">
        <v>358</v>
      </c>
      <c r="U433">
        <v>13</v>
      </c>
      <c r="V433">
        <v>18</v>
      </c>
      <c r="X433" t="s">
        <v>30</v>
      </c>
      <c r="Y433" t="s">
        <v>29</v>
      </c>
      <c r="Z433" t="s">
        <v>29</v>
      </c>
    </row>
    <row r="434" spans="1:26" ht="30" customHeight="1">
      <c r="A434">
        <v>1002613000</v>
      </c>
      <c r="B434">
        <f>COUNTIF(A:A,A434)</f>
        <v>1</v>
      </c>
      <c r="C434" s="1">
        <f t="shared" ca="1" si="33"/>
        <v>22322</v>
      </c>
      <c r="D434" s="1">
        <v>45430</v>
      </c>
      <c r="E434" s="4">
        <f ca="1">DATEDIF(Table1[[#This Row],[DOB]],Table1[[#This Row],[eventDate]],"Y")</f>
        <v>63</v>
      </c>
      <c r="F434" s="4" t="str">
        <f t="shared" si="34"/>
        <v>Woman</v>
      </c>
      <c r="G434" s="4">
        <f ca="1">_xlfn.DAYS(TODAY(),Table1[[#This Row],[eventDate]])</f>
        <v>683</v>
      </c>
      <c r="H434" t="s">
        <v>27</v>
      </c>
      <c r="I434" t="s">
        <v>34</v>
      </c>
      <c r="J434" t="s">
        <v>29</v>
      </c>
      <c r="K434" s="1">
        <v>45439</v>
      </c>
      <c r="L434">
        <f t="shared" si="35"/>
        <v>9</v>
      </c>
      <c r="M434">
        <f>IF(Table1[[#This Row],[Alive]]="No",Table1[[#This Row],[daysDeath]],Table1[[#This Row],[daysSince]])</f>
        <v>9</v>
      </c>
      <c r="N434">
        <v>137</v>
      </c>
      <c r="O434">
        <v>17.3</v>
      </c>
      <c r="P434">
        <v>262</v>
      </c>
      <c r="Q434">
        <v>13</v>
      </c>
      <c r="R434">
        <v>14.2</v>
      </c>
      <c r="S434">
        <v>102</v>
      </c>
      <c r="T434">
        <v>565</v>
      </c>
      <c r="U434">
        <v>20</v>
      </c>
      <c r="V434">
        <v>50</v>
      </c>
      <c r="W434">
        <v>80.5</v>
      </c>
      <c r="X434" t="s">
        <v>30</v>
      </c>
      <c r="Y434" t="s">
        <v>29</v>
      </c>
      <c r="Z434" t="s">
        <v>31</v>
      </c>
    </row>
    <row r="435" spans="1:26" ht="30" customHeight="1">
      <c r="A435">
        <v>1301473103</v>
      </c>
      <c r="B435">
        <f>COUNTIF(A:A,A435)</f>
        <v>1</v>
      </c>
      <c r="C435" s="1">
        <f t="shared" ca="1" si="33"/>
        <v>17180</v>
      </c>
      <c r="D435" s="1">
        <v>45432</v>
      </c>
      <c r="E435" s="4">
        <f ca="1">DATEDIF(Table1[[#This Row],[DOB]],Table1[[#This Row],[eventDate]],"Y")</f>
        <v>77</v>
      </c>
      <c r="F435" s="4" t="str">
        <f t="shared" si="34"/>
        <v>Woman</v>
      </c>
      <c r="G435" s="4">
        <f ca="1">_xlfn.DAYS(TODAY(),Table1[[#This Row],[eventDate]])</f>
        <v>681</v>
      </c>
      <c r="H435" t="s">
        <v>32</v>
      </c>
      <c r="I435" t="s">
        <v>34</v>
      </c>
      <c r="J435" t="s">
        <v>29</v>
      </c>
      <c r="K435" s="1">
        <v>45741</v>
      </c>
      <c r="L435">
        <f t="shared" si="35"/>
        <v>309</v>
      </c>
      <c r="M435">
        <f>IF(Table1[[#This Row],[Alive]]="No",Table1[[#This Row],[daysDeath]],Table1[[#This Row],[daysSince]])</f>
        <v>309</v>
      </c>
      <c r="N435">
        <v>110</v>
      </c>
      <c r="O435">
        <v>8.5</v>
      </c>
      <c r="P435">
        <v>364</v>
      </c>
      <c r="Q435">
        <v>14</v>
      </c>
      <c r="R435">
        <v>4.5999999999999996</v>
      </c>
      <c r="S435">
        <v>65</v>
      </c>
      <c r="T435">
        <v>261</v>
      </c>
      <c r="U435">
        <v>23</v>
      </c>
      <c r="V435">
        <v>16</v>
      </c>
      <c r="W435">
        <v>63</v>
      </c>
      <c r="X435" t="s">
        <v>30</v>
      </c>
      <c r="Y435" t="s">
        <v>29</v>
      </c>
      <c r="Z435" t="s">
        <v>29</v>
      </c>
    </row>
    <row r="436" spans="1:26" ht="30" customHeight="1">
      <c r="A436">
        <v>112806341</v>
      </c>
      <c r="B436">
        <f>COUNTIF(A:A,A436)</f>
        <v>1</v>
      </c>
      <c r="C436" s="1">
        <f t="shared" ca="1" si="33"/>
        <v>29556</v>
      </c>
      <c r="D436" s="1">
        <v>45432</v>
      </c>
      <c r="E436" s="4">
        <f ca="1">DATEDIF(Table1[[#This Row],[DOB]],Table1[[#This Row],[eventDate]],"Y")</f>
        <v>43</v>
      </c>
      <c r="F436" s="4" t="str">
        <f t="shared" si="34"/>
        <v>Woman</v>
      </c>
      <c r="G436" s="4">
        <f ca="1">_xlfn.DAYS(TODAY(),Table1[[#This Row],[eventDate]])</f>
        <v>681</v>
      </c>
      <c r="H436" t="s">
        <v>32</v>
      </c>
      <c r="I436" t="s">
        <v>34</v>
      </c>
      <c r="J436" t="s">
        <v>29</v>
      </c>
      <c r="K436" s="1">
        <v>45670</v>
      </c>
      <c r="L436">
        <f t="shared" si="35"/>
        <v>238</v>
      </c>
      <c r="M436">
        <f>IF(Table1[[#This Row],[Alive]]="No",Table1[[#This Row],[daysDeath]],Table1[[#This Row],[daysSince]])</f>
        <v>238</v>
      </c>
      <c r="N436">
        <v>118</v>
      </c>
      <c r="O436">
        <v>8.8000000000000007</v>
      </c>
      <c r="P436">
        <v>323</v>
      </c>
      <c r="Q436">
        <v>13</v>
      </c>
      <c r="R436">
        <v>3.5</v>
      </c>
      <c r="S436">
        <v>38</v>
      </c>
      <c r="T436">
        <v>246</v>
      </c>
      <c r="U436">
        <v>31</v>
      </c>
      <c r="V436">
        <v>3</v>
      </c>
      <c r="W436">
        <v>79</v>
      </c>
      <c r="X436" t="s">
        <v>30</v>
      </c>
      <c r="Y436" t="s">
        <v>31</v>
      </c>
      <c r="Z436" t="s">
        <v>29</v>
      </c>
    </row>
    <row r="437" spans="1:26" ht="30" customHeight="1">
      <c r="A437">
        <v>2101456524</v>
      </c>
      <c r="B437">
        <f>COUNTIF(A:A,A437)</f>
        <v>1</v>
      </c>
      <c r="C437" s="1">
        <f t="shared" ca="1" si="33"/>
        <v>16458</v>
      </c>
      <c r="D437" s="1">
        <v>45439</v>
      </c>
      <c r="E437" s="4">
        <f ca="1">DATEDIF(Table1[[#This Row],[DOB]],Table1[[#This Row],[eventDate]],"Y")</f>
        <v>79</v>
      </c>
      <c r="F437" s="4" t="str">
        <f t="shared" si="34"/>
        <v>Woman</v>
      </c>
      <c r="G437" s="4">
        <f ca="1">_xlfn.DAYS(TODAY(),Table1[[#This Row],[eventDate]])</f>
        <v>674</v>
      </c>
      <c r="H437" t="s">
        <v>27</v>
      </c>
      <c r="I437" t="s">
        <v>34</v>
      </c>
      <c r="J437" t="s">
        <v>29</v>
      </c>
      <c r="K437" s="1">
        <v>45550</v>
      </c>
      <c r="L437">
        <f t="shared" si="35"/>
        <v>111</v>
      </c>
      <c r="M437">
        <f>IF(Table1[[#This Row],[Alive]]="No",Table1[[#This Row],[daysDeath]],Table1[[#This Row],[daysSince]])</f>
        <v>111</v>
      </c>
      <c r="N437">
        <v>112</v>
      </c>
      <c r="O437">
        <v>5.0999999999999996</v>
      </c>
      <c r="P437">
        <v>215</v>
      </c>
      <c r="Q437">
        <v>11</v>
      </c>
      <c r="R437">
        <v>2.8</v>
      </c>
      <c r="S437">
        <v>62</v>
      </c>
      <c r="T437">
        <v>350</v>
      </c>
      <c r="U437">
        <v>25</v>
      </c>
      <c r="V437">
        <v>3</v>
      </c>
      <c r="W437">
        <v>70</v>
      </c>
      <c r="X437" t="s">
        <v>30</v>
      </c>
      <c r="Y437" t="s">
        <v>29</v>
      </c>
      <c r="Z437" t="s">
        <v>29</v>
      </c>
    </row>
    <row r="438" spans="1:26" ht="30" customHeight="1">
      <c r="A438">
        <v>211653152</v>
      </c>
      <c r="B438">
        <f>COUNTIF(A:A,A438)</f>
        <v>1</v>
      </c>
      <c r="C438" s="1">
        <f t="shared" ca="1" si="33"/>
        <v>24048</v>
      </c>
      <c r="D438" s="1">
        <v>45454</v>
      </c>
      <c r="E438" s="4">
        <f ca="1">DATEDIF(Table1[[#This Row],[DOB]],Table1[[#This Row],[eventDate]],"Y")</f>
        <v>58</v>
      </c>
      <c r="F438" s="4" t="str">
        <f t="shared" si="34"/>
        <v>Man</v>
      </c>
      <c r="G438" s="4">
        <f ca="1">_xlfn.DAYS(TODAY(),Table1[[#This Row],[eventDate]])</f>
        <v>659</v>
      </c>
      <c r="H438" t="s">
        <v>32</v>
      </c>
      <c r="I438" t="s">
        <v>28</v>
      </c>
      <c r="J438" t="s">
        <v>29</v>
      </c>
      <c r="K438" s="1">
        <v>45746</v>
      </c>
      <c r="L438">
        <f t="shared" si="35"/>
        <v>292</v>
      </c>
      <c r="M438">
        <f>IF(Table1[[#This Row],[Alive]]="No",Table1[[#This Row],[daysDeath]],Table1[[#This Row],[daysSince]])</f>
        <v>292</v>
      </c>
      <c r="N438">
        <v>128</v>
      </c>
      <c r="O438">
        <v>6.9</v>
      </c>
      <c r="P438">
        <v>159</v>
      </c>
      <c r="Q438">
        <v>13</v>
      </c>
      <c r="R438">
        <v>4.5</v>
      </c>
      <c r="S438">
        <v>52</v>
      </c>
      <c r="T438">
        <v>315</v>
      </c>
      <c r="U438">
        <v>31</v>
      </c>
      <c r="V438">
        <v>7</v>
      </c>
      <c r="W438">
        <v>92</v>
      </c>
      <c r="X438" t="s">
        <v>30</v>
      </c>
      <c r="Y438" t="s">
        <v>29</v>
      </c>
      <c r="Z438" t="s">
        <v>29</v>
      </c>
    </row>
    <row r="439" spans="1:26" ht="30" customHeight="1">
      <c r="A439">
        <v>2710396378</v>
      </c>
      <c r="B439">
        <f>COUNTIF(A:A,A439)</f>
        <v>1</v>
      </c>
      <c r="C439" s="1">
        <f t="shared" ca="1" si="33"/>
        <v>14545</v>
      </c>
      <c r="D439" s="1">
        <v>45456</v>
      </c>
      <c r="E439" s="4">
        <f ca="1">DATEDIF(Table1[[#This Row],[DOB]],Table1[[#This Row],[eventDate]],"Y")</f>
        <v>84</v>
      </c>
      <c r="F439" s="4" t="str">
        <f t="shared" si="34"/>
        <v>Man</v>
      </c>
      <c r="G439" s="4">
        <f ca="1">_xlfn.DAYS(TODAY(),Table1[[#This Row],[eventDate]])</f>
        <v>657</v>
      </c>
      <c r="H439" t="s">
        <v>32</v>
      </c>
      <c r="I439" t="s">
        <v>34</v>
      </c>
      <c r="J439" t="s">
        <v>29</v>
      </c>
      <c r="K439" s="1">
        <v>45885</v>
      </c>
      <c r="L439">
        <f t="shared" si="35"/>
        <v>429</v>
      </c>
      <c r="M439">
        <f>IF(Table1[[#This Row],[Alive]]="No",Table1[[#This Row],[daysDeath]],Table1[[#This Row],[daysSince]])</f>
        <v>429</v>
      </c>
      <c r="N439">
        <v>103</v>
      </c>
      <c r="O439">
        <v>4.9000000000000004</v>
      </c>
      <c r="P439">
        <v>337</v>
      </c>
      <c r="Q439">
        <v>10</v>
      </c>
      <c r="R439">
        <v>2.4</v>
      </c>
      <c r="S439">
        <v>56</v>
      </c>
      <c r="T439">
        <v>202</v>
      </c>
      <c r="U439">
        <v>25</v>
      </c>
      <c r="V439">
        <v>17</v>
      </c>
      <c r="X439" t="s">
        <v>30</v>
      </c>
      <c r="Y439" t="s">
        <v>29</v>
      </c>
      <c r="Z439" t="s">
        <v>29</v>
      </c>
    </row>
    <row r="440" spans="1:26" ht="30" customHeight="1">
      <c r="A440">
        <v>810866277</v>
      </c>
      <c r="B440">
        <f>COUNTIF(A:A,A440)</f>
        <v>1</v>
      </c>
      <c r="C440" s="1">
        <f t="shared" ca="1" si="33"/>
        <v>31693</v>
      </c>
      <c r="D440" s="1">
        <v>45463</v>
      </c>
      <c r="E440" s="4">
        <f ca="1">DATEDIF(Table1[[#This Row],[DOB]],Table1[[#This Row],[eventDate]],"Y")</f>
        <v>37</v>
      </c>
      <c r="F440" s="4" t="str">
        <f t="shared" si="34"/>
        <v>Man</v>
      </c>
      <c r="G440" s="4">
        <f ca="1">_xlfn.DAYS(TODAY(),Table1[[#This Row],[eventDate]])</f>
        <v>650</v>
      </c>
      <c r="H440" t="s">
        <v>32</v>
      </c>
      <c r="I440" t="s">
        <v>34</v>
      </c>
      <c r="J440" t="s">
        <v>31</v>
      </c>
      <c r="L440" t="str">
        <f t="shared" si="35"/>
        <v/>
      </c>
      <c r="M440">
        <f ca="1">IF(Table1[[#This Row],[Alive]]="No",Table1[[#This Row],[daysDeath]],Table1[[#This Row],[daysSince]])</f>
        <v>650</v>
      </c>
      <c r="N440">
        <v>126</v>
      </c>
      <c r="O440">
        <v>8.5</v>
      </c>
      <c r="P440">
        <v>306</v>
      </c>
      <c r="Q440">
        <v>11</v>
      </c>
      <c r="R440">
        <v>3.5</v>
      </c>
      <c r="S440">
        <v>82</v>
      </c>
      <c r="T440">
        <v>245</v>
      </c>
      <c r="U440">
        <v>29</v>
      </c>
      <c r="V440">
        <v>8</v>
      </c>
      <c r="W440">
        <v>97.1</v>
      </c>
      <c r="X440" t="s">
        <v>30</v>
      </c>
      <c r="Y440" t="s">
        <v>29</v>
      </c>
      <c r="Z440" t="s">
        <v>29</v>
      </c>
    </row>
    <row r="441" spans="1:26" ht="30" customHeight="1">
      <c r="A441">
        <v>1802796215</v>
      </c>
      <c r="B441">
        <f>COUNTIF(A:A,A441)</f>
        <v>1</v>
      </c>
      <c r="C441" s="1">
        <f t="shared" ca="1" si="33"/>
        <v>28904</v>
      </c>
      <c r="D441" s="1">
        <v>45477</v>
      </c>
      <c r="E441" s="4">
        <f ca="1">DATEDIF(Table1[[#This Row],[DOB]],Table1[[#This Row],[eventDate]],"Y")</f>
        <v>45</v>
      </c>
      <c r="F441" s="4" t="str">
        <f t="shared" si="34"/>
        <v>Man</v>
      </c>
      <c r="G441" s="4">
        <f ca="1">_xlfn.DAYS(TODAY(),Table1[[#This Row],[eventDate]])</f>
        <v>636</v>
      </c>
      <c r="H441" t="s">
        <v>27</v>
      </c>
      <c r="I441" t="s">
        <v>28</v>
      </c>
      <c r="J441" t="s">
        <v>29</v>
      </c>
      <c r="K441" s="1">
        <v>45508</v>
      </c>
      <c r="L441">
        <f t="shared" si="35"/>
        <v>31</v>
      </c>
      <c r="M441">
        <f>IF(Table1[[#This Row],[Alive]]="No",Table1[[#This Row],[daysDeath]],Table1[[#This Row],[daysSince]])</f>
        <v>31</v>
      </c>
      <c r="N441">
        <v>108</v>
      </c>
      <c r="O441">
        <v>5.3</v>
      </c>
      <c r="P441">
        <v>486</v>
      </c>
      <c r="Q441">
        <v>12</v>
      </c>
      <c r="R441">
        <v>6.3</v>
      </c>
      <c r="S441">
        <v>72</v>
      </c>
      <c r="T441">
        <v>48</v>
      </c>
      <c r="U441">
        <v>19</v>
      </c>
      <c r="V441">
        <v>25</v>
      </c>
      <c r="W441">
        <v>50</v>
      </c>
      <c r="X441" t="s">
        <v>30</v>
      </c>
      <c r="Y441" t="s">
        <v>29</v>
      </c>
      <c r="Z441" t="s">
        <v>31</v>
      </c>
    </row>
    <row r="442" spans="1:26" ht="30" customHeight="1">
      <c r="A442">
        <v>801075149</v>
      </c>
      <c r="B442">
        <f>COUNTIF(A:A,A442)</f>
        <v>1</v>
      </c>
      <c r="C442" s="1">
        <f t="shared" ca="1" si="33"/>
        <v>39090</v>
      </c>
      <c r="D442" s="1">
        <v>45478</v>
      </c>
      <c r="E442" s="4">
        <f ca="1">DATEDIF(Table1[[#This Row],[DOB]],Table1[[#This Row],[eventDate]],"Y")</f>
        <v>17</v>
      </c>
      <c r="F442" s="4" t="str">
        <f t="shared" si="34"/>
        <v>Woman</v>
      </c>
      <c r="G442" s="4">
        <f ca="1">_xlfn.DAYS(TODAY(),Table1[[#This Row],[eventDate]])</f>
        <v>635</v>
      </c>
      <c r="H442" t="s">
        <v>27</v>
      </c>
      <c r="I442" t="s">
        <v>34</v>
      </c>
      <c r="J442" t="s">
        <v>31</v>
      </c>
      <c r="L442" t="str">
        <f t="shared" si="35"/>
        <v/>
      </c>
      <c r="M442">
        <f ca="1">IF(Table1[[#This Row],[Alive]]="No",Table1[[#This Row],[daysDeath]],Table1[[#This Row],[daysSince]])</f>
        <v>635</v>
      </c>
      <c r="N442">
        <v>107</v>
      </c>
      <c r="O442">
        <v>7.2</v>
      </c>
      <c r="P442">
        <v>443</v>
      </c>
      <c r="Q442">
        <v>11</v>
      </c>
      <c r="R442">
        <v>4.0999999999999996</v>
      </c>
      <c r="S442">
        <v>58</v>
      </c>
      <c r="T442">
        <v>43</v>
      </c>
      <c r="U442">
        <v>29</v>
      </c>
      <c r="V442">
        <v>25</v>
      </c>
      <c r="W442">
        <v>50.4</v>
      </c>
      <c r="X442" t="s">
        <v>33</v>
      </c>
      <c r="Y442" t="s">
        <v>29</v>
      </c>
      <c r="Z442" t="s">
        <v>29</v>
      </c>
    </row>
    <row r="443" spans="1:26" ht="30" customHeight="1">
      <c r="A443">
        <v>2308615109</v>
      </c>
      <c r="B443">
        <f>COUNTIF(A:A,A443)</f>
        <v>1</v>
      </c>
      <c r="C443" s="1">
        <f t="shared" ca="1" si="33"/>
        <v>22516</v>
      </c>
      <c r="D443" s="1">
        <v>45484</v>
      </c>
      <c r="E443" s="4">
        <f ca="1">DATEDIF(Table1[[#This Row],[DOB]],Table1[[#This Row],[eventDate]],"Y")</f>
        <v>62</v>
      </c>
      <c r="F443" s="4" t="str">
        <f t="shared" si="34"/>
        <v>Woman</v>
      </c>
      <c r="G443" s="4">
        <f ca="1">_xlfn.DAYS(TODAY(),Table1[[#This Row],[eventDate]])</f>
        <v>629</v>
      </c>
      <c r="H443" t="s">
        <v>51</v>
      </c>
      <c r="I443" t="s">
        <v>28</v>
      </c>
      <c r="J443" t="s">
        <v>29</v>
      </c>
      <c r="K443" s="1">
        <v>45610</v>
      </c>
      <c r="L443">
        <f t="shared" si="35"/>
        <v>126</v>
      </c>
      <c r="M443">
        <f>IF(Table1[[#This Row],[Alive]]="No",Table1[[#This Row],[daysDeath]],Table1[[#This Row],[daysSince]])</f>
        <v>126</v>
      </c>
      <c r="N443">
        <v>101</v>
      </c>
      <c r="O443">
        <v>14.7</v>
      </c>
      <c r="P443">
        <v>581</v>
      </c>
      <c r="Q443">
        <v>12</v>
      </c>
      <c r="R443">
        <v>2.7</v>
      </c>
      <c r="S443">
        <v>50</v>
      </c>
      <c r="T443">
        <v>74</v>
      </c>
      <c r="U443">
        <v>18</v>
      </c>
      <c r="V443">
        <v>167</v>
      </c>
      <c r="W443">
        <v>52.1</v>
      </c>
      <c r="X443" t="s">
        <v>30</v>
      </c>
      <c r="Y443" t="s">
        <v>29</v>
      </c>
      <c r="Z443" t="s">
        <v>29</v>
      </c>
    </row>
    <row r="444" spans="1:26" ht="30" customHeight="1">
      <c r="A444">
        <v>907443257</v>
      </c>
      <c r="B444">
        <f>COUNTIF(A:A,A444)</f>
        <v>1</v>
      </c>
      <c r="C444" s="1">
        <f t="shared" ca="1" si="33"/>
        <v>16262</v>
      </c>
      <c r="D444" s="1">
        <v>45489</v>
      </c>
      <c r="E444" s="4">
        <f ca="1">DATEDIF(Table1[[#This Row],[DOB]],Table1[[#This Row],[eventDate]],"Y")</f>
        <v>80</v>
      </c>
      <c r="F444" s="4" t="str">
        <f t="shared" si="34"/>
        <v>Man</v>
      </c>
      <c r="G444" s="4">
        <f ca="1">_xlfn.DAYS(TODAY(),Table1[[#This Row],[eventDate]])</f>
        <v>624</v>
      </c>
      <c r="H444" t="s">
        <v>32</v>
      </c>
      <c r="I444" t="s">
        <v>34</v>
      </c>
      <c r="J444" t="s">
        <v>31</v>
      </c>
      <c r="L444" t="str">
        <f t="shared" si="35"/>
        <v/>
      </c>
      <c r="M444">
        <f ca="1">IF(Table1[[#This Row],[Alive]]="No",Table1[[#This Row],[daysDeath]],Table1[[#This Row],[daysSince]])</f>
        <v>624</v>
      </c>
      <c r="N444">
        <v>120</v>
      </c>
      <c r="O444">
        <v>3.9</v>
      </c>
      <c r="P444">
        <v>162</v>
      </c>
      <c r="Q444">
        <v>11</v>
      </c>
      <c r="R444">
        <v>4</v>
      </c>
      <c r="S444">
        <v>64</v>
      </c>
      <c r="T444">
        <v>201</v>
      </c>
      <c r="U444">
        <v>32</v>
      </c>
      <c r="V444">
        <v>1</v>
      </c>
      <c r="W444">
        <v>74.900000000000006</v>
      </c>
      <c r="X444" t="s">
        <v>30</v>
      </c>
      <c r="Y444" t="s">
        <v>29</v>
      </c>
      <c r="Z444" t="s">
        <v>29</v>
      </c>
    </row>
    <row r="445" spans="1:26" ht="30" customHeight="1">
      <c r="A445">
        <v>1608606384</v>
      </c>
      <c r="B445">
        <f>COUNTIF(A:A,A445)</f>
        <v>1</v>
      </c>
      <c r="C445" s="1">
        <f t="shared" ca="1" si="33"/>
        <v>22144</v>
      </c>
      <c r="D445" s="1">
        <v>45492</v>
      </c>
      <c r="E445" s="4">
        <f ca="1">DATEDIF(Table1[[#This Row],[DOB]],Table1[[#This Row],[eventDate]],"Y")</f>
        <v>63</v>
      </c>
      <c r="F445" s="4" t="str">
        <f t="shared" si="34"/>
        <v>Woman</v>
      </c>
      <c r="G445" s="4">
        <f ca="1">_xlfn.DAYS(TODAY(),Table1[[#This Row],[eventDate]])</f>
        <v>621</v>
      </c>
      <c r="H445" t="s">
        <v>32</v>
      </c>
      <c r="I445" t="s">
        <v>34</v>
      </c>
      <c r="J445" t="s">
        <v>29</v>
      </c>
      <c r="K445" s="1">
        <v>45520</v>
      </c>
      <c r="L445">
        <f t="shared" si="35"/>
        <v>28</v>
      </c>
      <c r="M445">
        <f>IF(Table1[[#This Row],[Alive]]="No",Table1[[#This Row],[daysDeath]],Table1[[#This Row],[daysSince]])</f>
        <v>28</v>
      </c>
      <c r="N445">
        <v>127</v>
      </c>
      <c r="O445">
        <v>4.5</v>
      </c>
      <c r="P445">
        <v>154</v>
      </c>
      <c r="Q445">
        <v>12</v>
      </c>
      <c r="R445">
        <v>4</v>
      </c>
      <c r="S445">
        <v>43</v>
      </c>
      <c r="T445">
        <v>185</v>
      </c>
      <c r="U445">
        <v>26</v>
      </c>
      <c r="V445">
        <v>10</v>
      </c>
      <c r="W445">
        <v>54.4</v>
      </c>
      <c r="X445" t="s">
        <v>30</v>
      </c>
      <c r="Y445" t="s">
        <v>29</v>
      </c>
      <c r="Z445" t="s">
        <v>29</v>
      </c>
    </row>
    <row r="446" spans="1:26" ht="30" customHeight="1">
      <c r="A446">
        <v>2109643110</v>
      </c>
      <c r="B446">
        <f>COUNTIF(A:A,A446)</f>
        <v>1</v>
      </c>
      <c r="C446" s="1">
        <f t="shared" ca="1" si="33"/>
        <v>23641</v>
      </c>
      <c r="D446" s="1">
        <v>45493</v>
      </c>
      <c r="E446" s="4">
        <f ca="1">DATEDIF(Table1[[#This Row],[DOB]],Table1[[#This Row],[eventDate]],"Y")</f>
        <v>59</v>
      </c>
      <c r="F446" s="4" t="str">
        <f t="shared" si="34"/>
        <v>Man</v>
      </c>
      <c r="G446" s="4">
        <f ca="1">_xlfn.DAYS(TODAY(),Table1[[#This Row],[eventDate]])</f>
        <v>620</v>
      </c>
      <c r="H446" t="s">
        <v>32</v>
      </c>
      <c r="I446" t="s">
        <v>34</v>
      </c>
      <c r="J446" t="s">
        <v>29</v>
      </c>
      <c r="K446" s="1">
        <v>45509</v>
      </c>
      <c r="L446">
        <f t="shared" si="35"/>
        <v>16</v>
      </c>
      <c r="M446">
        <f>IF(Table1[[#This Row],[Alive]]="No",Table1[[#This Row],[daysDeath]],Table1[[#This Row],[daysSince]])</f>
        <v>16</v>
      </c>
      <c r="N446">
        <v>98</v>
      </c>
      <c r="O446">
        <v>7.3</v>
      </c>
      <c r="P446">
        <v>97</v>
      </c>
      <c r="Q446">
        <v>15</v>
      </c>
      <c r="R446">
        <v>27.1</v>
      </c>
      <c r="S446">
        <v>205</v>
      </c>
      <c r="T446">
        <v>135</v>
      </c>
      <c r="U446">
        <v>22</v>
      </c>
      <c r="V446">
        <v>305</v>
      </c>
      <c r="W446">
        <v>67.599999999999994</v>
      </c>
      <c r="X446" t="s">
        <v>30</v>
      </c>
      <c r="Y446" t="s">
        <v>29</v>
      </c>
      <c r="Z446" t="s">
        <v>31</v>
      </c>
    </row>
    <row r="447" spans="1:26" ht="30" customHeight="1">
      <c r="A447">
        <v>2201693250</v>
      </c>
      <c r="B447">
        <f>COUNTIF(A:A,A447)</f>
        <v>1</v>
      </c>
      <c r="C447" s="1">
        <f t="shared" ca="1" si="33"/>
        <v>25225</v>
      </c>
      <c r="D447" s="1">
        <v>45502</v>
      </c>
      <c r="E447" s="4">
        <f ca="1">DATEDIF(Table1[[#This Row],[DOB]],Table1[[#This Row],[eventDate]],"Y")</f>
        <v>55</v>
      </c>
      <c r="F447" s="4" t="str">
        <f t="shared" si="34"/>
        <v>Man</v>
      </c>
      <c r="G447" s="4">
        <f ca="1">_xlfn.DAYS(TODAY(),Table1[[#This Row],[eventDate]])</f>
        <v>611</v>
      </c>
      <c r="H447" t="s">
        <v>32</v>
      </c>
      <c r="I447" t="s">
        <v>28</v>
      </c>
      <c r="J447" t="s">
        <v>29</v>
      </c>
      <c r="K447" s="1">
        <v>45693</v>
      </c>
      <c r="L447">
        <f t="shared" si="35"/>
        <v>191</v>
      </c>
      <c r="M447">
        <f>IF(Table1[[#This Row],[Alive]]="No",Table1[[#This Row],[daysDeath]],Table1[[#This Row],[daysSince]])</f>
        <v>191</v>
      </c>
      <c r="N447">
        <v>126</v>
      </c>
      <c r="O447">
        <v>6.2</v>
      </c>
      <c r="P447">
        <v>231</v>
      </c>
      <c r="Q447">
        <v>11</v>
      </c>
      <c r="R447">
        <v>3</v>
      </c>
      <c r="S447">
        <v>102</v>
      </c>
      <c r="T447">
        <v>280</v>
      </c>
      <c r="U447">
        <v>21</v>
      </c>
      <c r="V447">
        <v>22</v>
      </c>
      <c r="W447">
        <v>102</v>
      </c>
      <c r="X447" t="s">
        <v>30</v>
      </c>
      <c r="Y447" t="s">
        <v>31</v>
      </c>
      <c r="Z447" t="s">
        <v>29</v>
      </c>
    </row>
    <row r="448" spans="1:26" ht="30" customHeight="1">
      <c r="A448">
        <v>809665174</v>
      </c>
      <c r="B448">
        <f>COUNTIF(A:A,A448)</f>
        <v>1</v>
      </c>
      <c r="C448" s="1">
        <f t="shared" ref="C448:C470" ca="1" si="36">DATE(
    IF(VALUE(MID(TEXT(A448,"0000000000"),5,2)) &gt; VALUE(TEXT(TODAY(),"YY")),
       1900 + VALUE(MID(TEXT(A448,"0000000000"),5,2)),
       2000 + VALUE(MID(TEXT(A448,"0000000000"),5,2))
    ),
    VALUE(MID(TEXT(A448,"0000000000"),3,2)),
    VALUE(LEFT(TEXT(A448,"0000000000"),2))
)</f>
        <v>24358</v>
      </c>
      <c r="D448" s="1">
        <v>45506</v>
      </c>
      <c r="E448" s="4">
        <f ca="1">DATEDIF(Table1[[#This Row],[DOB]],Table1[[#This Row],[eventDate]],"Y")</f>
        <v>57</v>
      </c>
      <c r="F448" s="4" t="str">
        <f t="shared" ref="F448:F470" si="37">IF(MOD(VALUE(MID(TEXT(A448,"0000000000"),9,1)),2)=0,"Woman","Man")</f>
        <v>Man</v>
      </c>
      <c r="G448" s="4">
        <f ca="1">_xlfn.DAYS(TODAY(),Table1[[#This Row],[eventDate]])</f>
        <v>607</v>
      </c>
      <c r="H448" t="s">
        <v>27</v>
      </c>
      <c r="I448" t="s">
        <v>34</v>
      </c>
      <c r="J448" t="s">
        <v>29</v>
      </c>
      <c r="K448" s="1">
        <v>45589</v>
      </c>
      <c r="L448">
        <f t="shared" ref="L448:L470" si="38">IF(J448="No",_xlfn.DAYS(K448,D448),"")</f>
        <v>83</v>
      </c>
      <c r="M448">
        <f>IF(Table1[[#This Row],[Alive]]="No",Table1[[#This Row],[daysDeath]],Table1[[#This Row],[daysSince]])</f>
        <v>83</v>
      </c>
      <c r="N448">
        <v>94</v>
      </c>
      <c r="O448">
        <v>16.899999999999999</v>
      </c>
      <c r="P448">
        <v>223</v>
      </c>
      <c r="Q448">
        <v>16</v>
      </c>
      <c r="R448">
        <v>5.7</v>
      </c>
      <c r="S448">
        <v>57</v>
      </c>
      <c r="T448">
        <v>337</v>
      </c>
      <c r="U448">
        <v>17</v>
      </c>
      <c r="V448">
        <v>419</v>
      </c>
      <c r="W448">
        <v>64.900000000000006</v>
      </c>
      <c r="X448" t="s">
        <v>30</v>
      </c>
      <c r="Y448" t="s">
        <v>31</v>
      </c>
      <c r="Z448" t="s">
        <v>29</v>
      </c>
    </row>
    <row r="449" spans="1:27" ht="30" customHeight="1">
      <c r="A449">
        <v>1011586568</v>
      </c>
      <c r="B449">
        <f>COUNTIF(A:A,A449)</f>
        <v>1</v>
      </c>
      <c r="C449" s="1">
        <f t="shared" ca="1" si="36"/>
        <v>21499</v>
      </c>
      <c r="D449" s="1">
        <v>45512</v>
      </c>
      <c r="E449" s="4">
        <f ca="1">DATEDIF(Table1[[#This Row],[DOB]],Table1[[#This Row],[eventDate]],"Y")</f>
        <v>65</v>
      </c>
      <c r="F449" s="4" t="str">
        <f t="shared" si="37"/>
        <v>Woman</v>
      </c>
      <c r="G449" s="4">
        <f ca="1">_xlfn.DAYS(TODAY(),Table1[[#This Row],[eventDate]])</f>
        <v>601</v>
      </c>
      <c r="H449" t="s">
        <v>32</v>
      </c>
      <c r="I449" t="s">
        <v>28</v>
      </c>
      <c r="J449" t="s">
        <v>29</v>
      </c>
      <c r="K449" s="1">
        <v>45588</v>
      </c>
      <c r="L449">
        <f t="shared" si="38"/>
        <v>76</v>
      </c>
      <c r="M449">
        <f>IF(Table1[[#This Row],[Alive]]="No",Table1[[#This Row],[daysDeath]],Table1[[#This Row],[daysSince]])</f>
        <v>76</v>
      </c>
      <c r="N449">
        <v>96</v>
      </c>
      <c r="O449">
        <v>12.4</v>
      </c>
      <c r="P449">
        <v>297</v>
      </c>
      <c r="Q449">
        <v>13</v>
      </c>
      <c r="R449">
        <v>2.5</v>
      </c>
      <c r="S449">
        <v>54</v>
      </c>
      <c r="T449">
        <v>188</v>
      </c>
      <c r="U449">
        <v>21</v>
      </c>
      <c r="V449">
        <v>74</v>
      </c>
      <c r="W449">
        <v>48.5</v>
      </c>
      <c r="X449" t="s">
        <v>30</v>
      </c>
      <c r="Y449" t="s">
        <v>29</v>
      </c>
      <c r="Z449" t="s">
        <v>29</v>
      </c>
    </row>
    <row r="450" spans="1:27" ht="30" customHeight="1">
      <c r="A450">
        <v>1511755008</v>
      </c>
      <c r="B450">
        <f>COUNTIF(A:A,A450)</f>
        <v>1</v>
      </c>
      <c r="C450" s="1">
        <f t="shared" ca="1" si="36"/>
        <v>27713</v>
      </c>
      <c r="D450" s="1">
        <v>45513</v>
      </c>
      <c r="E450" s="4">
        <f ca="1">DATEDIF(Table1[[#This Row],[DOB]],Table1[[#This Row],[eventDate]],"Y")</f>
        <v>48</v>
      </c>
      <c r="F450" s="4" t="str">
        <f t="shared" si="37"/>
        <v>Woman</v>
      </c>
      <c r="G450" s="4">
        <f ca="1">_xlfn.DAYS(TODAY(),Table1[[#This Row],[eventDate]])</f>
        <v>600</v>
      </c>
      <c r="H450" t="s">
        <v>27</v>
      </c>
      <c r="I450" t="s">
        <v>34</v>
      </c>
      <c r="J450" t="s">
        <v>29</v>
      </c>
      <c r="K450" s="1">
        <v>45768</v>
      </c>
      <c r="L450">
        <f t="shared" si="38"/>
        <v>255</v>
      </c>
      <c r="M450">
        <f>IF(Table1[[#This Row],[Alive]]="No",Table1[[#This Row],[daysDeath]],Table1[[#This Row],[daysSince]])</f>
        <v>255</v>
      </c>
      <c r="N450">
        <v>172</v>
      </c>
      <c r="O450">
        <v>1.4</v>
      </c>
      <c r="P450">
        <v>44</v>
      </c>
      <c r="Q450">
        <v>14</v>
      </c>
      <c r="R450">
        <v>3.2</v>
      </c>
      <c r="S450">
        <v>51</v>
      </c>
      <c r="T450">
        <v>148</v>
      </c>
      <c r="U450">
        <v>19</v>
      </c>
      <c r="V450">
        <v>113</v>
      </c>
      <c r="W450">
        <v>80</v>
      </c>
      <c r="X450" t="s">
        <v>30</v>
      </c>
      <c r="Y450" t="s">
        <v>31</v>
      </c>
      <c r="Z450" t="s">
        <v>29</v>
      </c>
    </row>
    <row r="451" spans="1:27" ht="30" customHeight="1">
      <c r="A451">
        <v>1305806360</v>
      </c>
      <c r="B451">
        <f>COUNTIF(A:A,A451)</f>
        <v>1</v>
      </c>
      <c r="C451" s="1">
        <f t="shared" ca="1" si="36"/>
        <v>29354</v>
      </c>
      <c r="D451" s="1">
        <v>45519</v>
      </c>
      <c r="E451" s="4">
        <f ca="1">DATEDIF(Table1[[#This Row],[DOB]],Table1[[#This Row],[eventDate]],"Y")</f>
        <v>44</v>
      </c>
      <c r="F451" s="4" t="str">
        <f t="shared" si="37"/>
        <v>Woman</v>
      </c>
      <c r="G451" s="4">
        <f ca="1">_xlfn.DAYS(TODAY(),Table1[[#This Row],[eventDate]])</f>
        <v>594</v>
      </c>
      <c r="H451" t="s">
        <v>32</v>
      </c>
      <c r="I451" t="s">
        <v>28</v>
      </c>
      <c r="J451" t="s">
        <v>29</v>
      </c>
      <c r="K451" s="1">
        <v>45572</v>
      </c>
      <c r="L451">
        <f t="shared" si="38"/>
        <v>53</v>
      </c>
      <c r="M451">
        <f>IF(Table1[[#This Row],[Alive]]="No",Table1[[#This Row],[daysDeath]],Table1[[#This Row],[daysSince]])</f>
        <v>53</v>
      </c>
      <c r="N451">
        <v>66</v>
      </c>
      <c r="O451">
        <v>7.3</v>
      </c>
      <c r="P451">
        <v>271</v>
      </c>
      <c r="Q451">
        <v>12</v>
      </c>
      <c r="R451">
        <v>8.1999999999999993</v>
      </c>
      <c r="S451">
        <v>69</v>
      </c>
      <c r="T451">
        <v>139</v>
      </c>
      <c r="U451">
        <v>22</v>
      </c>
      <c r="V451">
        <v>21</v>
      </c>
      <c r="W451">
        <v>100</v>
      </c>
      <c r="X451" t="s">
        <v>30</v>
      </c>
      <c r="Y451" t="s">
        <v>29</v>
      </c>
      <c r="Z451" t="s">
        <v>29</v>
      </c>
    </row>
    <row r="452" spans="1:27" ht="30" customHeight="1">
      <c r="A452">
        <v>1402506449</v>
      </c>
      <c r="B452">
        <f>COUNTIF(A:A,A452)</f>
        <v>1</v>
      </c>
      <c r="C452" s="1">
        <f t="shared" ca="1" si="36"/>
        <v>18308</v>
      </c>
      <c r="D452" s="1">
        <v>45531</v>
      </c>
      <c r="E452" s="4">
        <f ca="1">DATEDIF(Table1[[#This Row],[DOB]],Table1[[#This Row],[eventDate]],"Y")</f>
        <v>74</v>
      </c>
      <c r="F452" s="4" t="str">
        <f t="shared" si="37"/>
        <v>Woman</v>
      </c>
      <c r="G452" s="4">
        <f ca="1">_xlfn.DAYS(TODAY(),Table1[[#This Row],[eventDate]])</f>
        <v>582</v>
      </c>
      <c r="H452" t="s">
        <v>32</v>
      </c>
      <c r="I452" t="s">
        <v>28</v>
      </c>
      <c r="J452" t="s">
        <v>29</v>
      </c>
      <c r="K452" s="1">
        <v>45576</v>
      </c>
      <c r="L452">
        <f t="shared" si="38"/>
        <v>45</v>
      </c>
      <c r="M452">
        <f>IF(Table1[[#This Row],[Alive]]="No",Table1[[#This Row],[daysDeath]],Table1[[#This Row],[daysSince]])</f>
        <v>45</v>
      </c>
      <c r="N452">
        <v>105</v>
      </c>
      <c r="O452">
        <v>13.1</v>
      </c>
      <c r="P452">
        <v>244</v>
      </c>
      <c r="Q452">
        <v>13</v>
      </c>
      <c r="R452">
        <v>5.0999999999999996</v>
      </c>
      <c r="S452">
        <v>58</v>
      </c>
      <c r="T452">
        <v>225</v>
      </c>
      <c r="U452">
        <v>22</v>
      </c>
      <c r="V452">
        <v>41</v>
      </c>
      <c r="W452">
        <v>82.5</v>
      </c>
      <c r="X452" t="s">
        <v>30</v>
      </c>
      <c r="Y452" t="s">
        <v>29</v>
      </c>
      <c r="Z452" t="s">
        <v>29</v>
      </c>
    </row>
    <row r="453" spans="1:27" ht="30" customHeight="1">
      <c r="A453">
        <v>2405596024</v>
      </c>
      <c r="B453">
        <f>COUNTIF(A:A,A453)</f>
        <v>1</v>
      </c>
      <c r="C453" s="1">
        <f t="shared" ca="1" si="36"/>
        <v>21694</v>
      </c>
      <c r="D453" s="1">
        <v>45546</v>
      </c>
      <c r="E453" s="4">
        <f ca="1">DATEDIF(Table1[[#This Row],[DOB]],Table1[[#This Row],[eventDate]],"Y")</f>
        <v>65</v>
      </c>
      <c r="F453" s="4" t="str">
        <f t="shared" si="37"/>
        <v>Woman</v>
      </c>
      <c r="G453" s="4">
        <f ca="1">_xlfn.DAYS(TODAY(),Table1[[#This Row],[eventDate]])</f>
        <v>567</v>
      </c>
      <c r="H453" t="s">
        <v>27</v>
      </c>
      <c r="I453" t="s">
        <v>34</v>
      </c>
      <c r="J453" t="s">
        <v>29</v>
      </c>
      <c r="K453" s="1">
        <v>45637</v>
      </c>
      <c r="L453">
        <f t="shared" si="38"/>
        <v>91</v>
      </c>
      <c r="M453">
        <f>IF(Table1[[#This Row],[Alive]]="No",Table1[[#This Row],[daysDeath]],Table1[[#This Row],[daysSince]])</f>
        <v>91</v>
      </c>
      <c r="N453">
        <v>103</v>
      </c>
      <c r="O453">
        <v>13.2</v>
      </c>
      <c r="P453">
        <v>282</v>
      </c>
      <c r="Q453">
        <v>13</v>
      </c>
      <c r="R453">
        <v>2.9</v>
      </c>
      <c r="S453">
        <v>65</v>
      </c>
      <c r="T453">
        <v>520</v>
      </c>
      <c r="U453">
        <v>17</v>
      </c>
      <c r="V453">
        <v>105</v>
      </c>
      <c r="W453">
        <v>90</v>
      </c>
      <c r="X453" t="s">
        <v>30</v>
      </c>
      <c r="Y453" t="s">
        <v>29</v>
      </c>
      <c r="Z453" t="s">
        <v>29</v>
      </c>
    </row>
    <row r="454" spans="1:27" ht="30" customHeight="1">
      <c r="A454">
        <v>3009623690</v>
      </c>
      <c r="B454">
        <f>COUNTIF(A:A,A454)</f>
        <v>1</v>
      </c>
      <c r="C454" s="1">
        <f t="shared" ca="1" si="36"/>
        <v>22919</v>
      </c>
      <c r="D454" s="1">
        <v>45554</v>
      </c>
      <c r="E454" s="4">
        <f ca="1">DATEDIF(Table1[[#This Row],[DOB]],Table1[[#This Row],[eventDate]],"Y")</f>
        <v>61</v>
      </c>
      <c r="F454" s="4" t="str">
        <f t="shared" si="37"/>
        <v>Man</v>
      </c>
      <c r="G454" s="4">
        <f ca="1">_xlfn.DAYS(TODAY(),Table1[[#This Row],[eventDate]])</f>
        <v>559</v>
      </c>
      <c r="H454" t="s">
        <v>32</v>
      </c>
      <c r="I454" t="s">
        <v>28</v>
      </c>
      <c r="J454" t="s">
        <v>29</v>
      </c>
      <c r="K454" s="1">
        <v>45597</v>
      </c>
      <c r="L454">
        <f t="shared" si="38"/>
        <v>43</v>
      </c>
      <c r="M454">
        <f>IF(Table1[[#This Row],[Alive]]="No",Table1[[#This Row],[daysDeath]],Table1[[#This Row],[daysSince]])</f>
        <v>43</v>
      </c>
      <c r="N454">
        <v>84</v>
      </c>
      <c r="O454">
        <v>20.6</v>
      </c>
      <c r="P454">
        <v>429</v>
      </c>
      <c r="Q454">
        <v>15</v>
      </c>
      <c r="R454">
        <v>9.1</v>
      </c>
      <c r="S454">
        <v>96</v>
      </c>
      <c r="T454">
        <v>273</v>
      </c>
      <c r="U454">
        <v>15</v>
      </c>
      <c r="V454">
        <v>217</v>
      </c>
      <c r="W454">
        <v>87.2</v>
      </c>
      <c r="X454" t="s">
        <v>30</v>
      </c>
      <c r="Y454" t="s">
        <v>29</v>
      </c>
      <c r="Z454" t="s">
        <v>47</v>
      </c>
    </row>
    <row r="455" spans="1:27" ht="30" customHeight="1">
      <c r="A455">
        <v>3108693255</v>
      </c>
      <c r="B455">
        <f>COUNTIF(A:A,A455)</f>
        <v>1</v>
      </c>
      <c r="C455" s="1">
        <f t="shared" ca="1" si="36"/>
        <v>25446</v>
      </c>
      <c r="D455" s="1">
        <v>45580</v>
      </c>
      <c r="E455" s="4">
        <f ca="1">DATEDIF(Table1[[#This Row],[DOB]],Table1[[#This Row],[eventDate]],"Y")</f>
        <v>55</v>
      </c>
      <c r="F455" s="4" t="str">
        <f t="shared" si="37"/>
        <v>Man</v>
      </c>
      <c r="G455" s="4">
        <f ca="1">_xlfn.DAYS(TODAY(),Table1[[#This Row],[eventDate]])</f>
        <v>533</v>
      </c>
      <c r="H455" t="s">
        <v>27</v>
      </c>
      <c r="I455" t="s">
        <v>28</v>
      </c>
      <c r="J455" t="s">
        <v>29</v>
      </c>
      <c r="K455" s="1">
        <v>45648</v>
      </c>
      <c r="L455">
        <f t="shared" si="38"/>
        <v>68</v>
      </c>
      <c r="M455">
        <f>IF(Table1[[#This Row],[Alive]]="No",Table1[[#This Row],[daysDeath]],Table1[[#This Row],[daysSince]])</f>
        <v>68</v>
      </c>
      <c r="N455">
        <v>96</v>
      </c>
      <c r="O455">
        <v>25</v>
      </c>
      <c r="P455">
        <v>203</v>
      </c>
      <c r="Q455">
        <v>13</v>
      </c>
      <c r="R455">
        <v>8</v>
      </c>
      <c r="S455">
        <v>52</v>
      </c>
      <c r="T455">
        <v>310</v>
      </c>
      <c r="U455">
        <v>24</v>
      </c>
      <c r="V455">
        <v>109</v>
      </c>
      <c r="W455">
        <v>62.5</v>
      </c>
      <c r="X455" t="s">
        <v>30</v>
      </c>
      <c r="Y455" t="s">
        <v>29</v>
      </c>
      <c r="Z455" t="s">
        <v>29</v>
      </c>
    </row>
    <row r="456" spans="1:27" ht="30" customHeight="1">
      <c r="A456">
        <v>406616787</v>
      </c>
      <c r="B456">
        <f>COUNTIF(A:A,A456)</f>
        <v>1</v>
      </c>
      <c r="C456" s="1">
        <f t="shared" ca="1" si="36"/>
        <v>22436</v>
      </c>
      <c r="D456" s="1">
        <v>45582</v>
      </c>
      <c r="E456" s="4">
        <f ca="1">DATEDIF(Table1[[#This Row],[DOB]],Table1[[#This Row],[eventDate]],"Y")</f>
        <v>63</v>
      </c>
      <c r="F456" s="4" t="str">
        <f t="shared" si="37"/>
        <v>Woman</v>
      </c>
      <c r="G456" s="4">
        <f ca="1">_xlfn.DAYS(TODAY(),Table1[[#This Row],[eventDate]])</f>
        <v>531</v>
      </c>
      <c r="H456" t="s">
        <v>32</v>
      </c>
      <c r="I456" t="s">
        <v>28</v>
      </c>
      <c r="J456" t="s">
        <v>31</v>
      </c>
      <c r="L456" t="str">
        <f t="shared" si="38"/>
        <v/>
      </c>
      <c r="M456">
        <f ca="1">IF(Table1[[#This Row],[Alive]]="No",Table1[[#This Row],[daysDeath]],Table1[[#This Row],[daysSince]])</f>
        <v>531</v>
      </c>
      <c r="N456">
        <v>106</v>
      </c>
      <c r="O456">
        <v>9.5</v>
      </c>
      <c r="P456">
        <v>540</v>
      </c>
      <c r="Q456">
        <v>12</v>
      </c>
      <c r="R456">
        <v>2.9</v>
      </c>
      <c r="S456">
        <v>62</v>
      </c>
      <c r="T456">
        <v>347</v>
      </c>
      <c r="U456">
        <v>24</v>
      </c>
      <c r="V456">
        <v>61</v>
      </c>
      <c r="W456">
        <v>63.4</v>
      </c>
      <c r="X456" t="s">
        <v>30</v>
      </c>
      <c r="Y456" t="s">
        <v>29</v>
      </c>
      <c r="Z456" t="s">
        <v>29</v>
      </c>
    </row>
    <row r="457" spans="1:27" ht="30" customHeight="1">
      <c r="A457">
        <v>2404939009</v>
      </c>
      <c r="B457">
        <f>COUNTIF(A:A,A457)</f>
        <v>1</v>
      </c>
      <c r="C457" s="1">
        <f t="shared" ca="1" si="36"/>
        <v>34083</v>
      </c>
      <c r="D457" s="1">
        <v>45601</v>
      </c>
      <c r="E457" s="4">
        <f ca="1">DATEDIF(Table1[[#This Row],[DOB]],Table1[[#This Row],[eventDate]],"Y")</f>
        <v>31</v>
      </c>
      <c r="F457" s="4" t="str">
        <f t="shared" si="37"/>
        <v>Woman</v>
      </c>
      <c r="G457" s="4">
        <f ca="1">_xlfn.DAYS(TODAY(),Table1[[#This Row],[eventDate]])</f>
        <v>512</v>
      </c>
      <c r="H457" t="s">
        <v>32</v>
      </c>
      <c r="I457" t="s">
        <v>28</v>
      </c>
      <c r="J457" t="s">
        <v>31</v>
      </c>
      <c r="L457" t="str">
        <f t="shared" si="38"/>
        <v/>
      </c>
      <c r="M457">
        <f ca="1">IF(Table1[[#This Row],[Alive]]="No",Table1[[#This Row],[daysDeath]],Table1[[#This Row],[daysSince]])</f>
        <v>512</v>
      </c>
      <c r="N457">
        <v>115</v>
      </c>
      <c r="O457">
        <v>12.6</v>
      </c>
      <c r="P457">
        <v>529</v>
      </c>
      <c r="Q457">
        <v>10</v>
      </c>
      <c r="R457">
        <v>3.7</v>
      </c>
      <c r="S457">
        <v>57</v>
      </c>
      <c r="T457">
        <v>144</v>
      </c>
      <c r="U457">
        <v>36</v>
      </c>
      <c r="V457">
        <v>8</v>
      </c>
      <c r="W457">
        <v>51.7</v>
      </c>
      <c r="X457" t="s">
        <v>30</v>
      </c>
      <c r="Y457" t="s">
        <v>29</v>
      </c>
      <c r="Z457" t="s">
        <v>29</v>
      </c>
    </row>
    <row r="458" spans="1:27" ht="30" customHeight="1">
      <c r="A458">
        <v>2811573321</v>
      </c>
      <c r="B458">
        <f>COUNTIF(A:A,A458)</f>
        <v>1</v>
      </c>
      <c r="C458" s="1">
        <f t="shared" ca="1" si="36"/>
        <v>21152</v>
      </c>
      <c r="D458" s="1">
        <v>45603</v>
      </c>
      <c r="E458" s="4">
        <f ca="1">DATEDIF(Table1[[#This Row],[DOB]],Table1[[#This Row],[eventDate]],"Y")</f>
        <v>66</v>
      </c>
      <c r="F458" s="4" t="str">
        <f t="shared" si="37"/>
        <v>Woman</v>
      </c>
      <c r="G458" s="4">
        <f ca="1">_xlfn.DAYS(TODAY(),Table1[[#This Row],[eventDate]])</f>
        <v>510</v>
      </c>
      <c r="H458" t="s">
        <v>32</v>
      </c>
      <c r="I458" t="s">
        <v>28</v>
      </c>
      <c r="J458" t="s">
        <v>29</v>
      </c>
      <c r="K458" s="1">
        <v>46079</v>
      </c>
      <c r="L458">
        <f t="shared" si="38"/>
        <v>476</v>
      </c>
      <c r="M458">
        <f>IF(Table1[[#This Row],[Alive]]="No",Table1[[#This Row],[daysDeath]],Table1[[#This Row],[daysSince]])</f>
        <v>476</v>
      </c>
      <c r="N458">
        <v>90</v>
      </c>
      <c r="O458">
        <v>8.1</v>
      </c>
      <c r="P458">
        <v>155</v>
      </c>
      <c r="Q458">
        <v>15</v>
      </c>
      <c r="R458">
        <v>3</v>
      </c>
      <c r="S458">
        <v>61</v>
      </c>
      <c r="T458">
        <v>140</v>
      </c>
      <c r="U458">
        <v>25</v>
      </c>
      <c r="V458">
        <v>39</v>
      </c>
      <c r="W458">
        <v>69</v>
      </c>
      <c r="X458" t="s">
        <v>30</v>
      </c>
      <c r="Y458" t="s">
        <v>29</v>
      </c>
      <c r="Z458" t="s">
        <v>29</v>
      </c>
    </row>
    <row r="459" spans="1:27" ht="30" customHeight="1">
      <c r="A459">
        <v>2411520697</v>
      </c>
      <c r="B459">
        <f>COUNTIF(A:A,A459)</f>
        <v>1</v>
      </c>
      <c r="C459" s="1">
        <f t="shared" ca="1" si="36"/>
        <v>19322</v>
      </c>
      <c r="D459" s="1">
        <v>45603</v>
      </c>
      <c r="E459" s="4">
        <f ca="1">DATEDIF(Table1[[#This Row],[DOB]],Table1[[#This Row],[eventDate]],"Y")</f>
        <v>71</v>
      </c>
      <c r="F459" s="4" t="str">
        <f t="shared" si="37"/>
        <v>Man</v>
      </c>
      <c r="G459" s="4">
        <f ca="1">_xlfn.DAYS(TODAY(),Table1[[#This Row],[eventDate]])</f>
        <v>510</v>
      </c>
      <c r="H459" t="s">
        <v>38</v>
      </c>
      <c r="I459" t="s">
        <v>28</v>
      </c>
      <c r="J459" t="s">
        <v>31</v>
      </c>
      <c r="L459" t="str">
        <f t="shared" si="38"/>
        <v/>
      </c>
      <c r="M459">
        <f ca="1">IF(Table1[[#This Row],[Alive]]="No",Table1[[#This Row],[daysDeath]],Table1[[#This Row],[daysSince]])</f>
        <v>510</v>
      </c>
      <c r="N459">
        <v>124</v>
      </c>
      <c r="O459">
        <v>4</v>
      </c>
      <c r="P459">
        <v>160</v>
      </c>
      <c r="Q459">
        <v>12</v>
      </c>
      <c r="R459">
        <v>4</v>
      </c>
      <c r="S459">
        <v>60</v>
      </c>
      <c r="T459">
        <v>197</v>
      </c>
      <c r="U459">
        <v>27</v>
      </c>
      <c r="V459">
        <v>13</v>
      </c>
      <c r="W459">
        <v>75</v>
      </c>
      <c r="X459" t="s">
        <v>33</v>
      </c>
      <c r="Y459" t="s">
        <v>29</v>
      </c>
      <c r="Z459" t="s">
        <v>29</v>
      </c>
      <c r="AA459" t="s">
        <v>52</v>
      </c>
    </row>
    <row r="460" spans="1:27" ht="30" customHeight="1">
      <c r="A460">
        <v>2312566265</v>
      </c>
      <c r="B460">
        <f>COUNTIF(A:A,A460)</f>
        <v>1</v>
      </c>
      <c r="C460" s="1">
        <f t="shared" ca="1" si="36"/>
        <v>20812</v>
      </c>
      <c r="D460" s="1">
        <v>45616</v>
      </c>
      <c r="E460" s="4">
        <f ca="1">DATEDIF(Table1[[#This Row],[DOB]],Table1[[#This Row],[eventDate]],"Y")</f>
        <v>67</v>
      </c>
      <c r="F460" s="4" t="str">
        <f t="shared" si="37"/>
        <v>Woman</v>
      </c>
      <c r="G460" s="4">
        <f ca="1">_xlfn.DAYS(TODAY(),Table1[[#This Row],[eventDate]])</f>
        <v>497</v>
      </c>
      <c r="H460" t="s">
        <v>32</v>
      </c>
      <c r="I460" t="s">
        <v>34</v>
      </c>
      <c r="J460" t="s">
        <v>29</v>
      </c>
      <c r="K460" s="1">
        <v>45748</v>
      </c>
      <c r="L460">
        <f t="shared" si="38"/>
        <v>132</v>
      </c>
      <c r="M460">
        <f>IF(Table1[[#This Row],[Alive]]="No",Table1[[#This Row],[daysDeath]],Table1[[#This Row],[daysSince]])</f>
        <v>132</v>
      </c>
      <c r="N460">
        <v>126</v>
      </c>
      <c r="O460">
        <v>5.3</v>
      </c>
      <c r="P460">
        <v>286</v>
      </c>
      <c r="Q460">
        <v>11</v>
      </c>
      <c r="R460">
        <v>3.2</v>
      </c>
      <c r="S460">
        <v>53</v>
      </c>
      <c r="T460">
        <v>148</v>
      </c>
      <c r="U460">
        <v>33</v>
      </c>
      <c r="V460">
        <v>14</v>
      </c>
      <c r="W460">
        <v>64.3</v>
      </c>
      <c r="X460" t="s">
        <v>30</v>
      </c>
      <c r="Y460" t="s">
        <v>31</v>
      </c>
      <c r="Z460" t="s">
        <v>29</v>
      </c>
    </row>
    <row r="461" spans="1:27" ht="30" customHeight="1">
      <c r="A461">
        <v>1304495221</v>
      </c>
      <c r="B461">
        <f>COUNTIF(A:A,A461)</f>
        <v>1</v>
      </c>
      <c r="C461" s="1">
        <f t="shared" ca="1" si="36"/>
        <v>18001</v>
      </c>
      <c r="D461" s="1">
        <v>45617</v>
      </c>
      <c r="E461" s="4">
        <f ca="1">DATEDIF(Table1[[#This Row],[DOB]],Table1[[#This Row],[eventDate]],"Y")</f>
        <v>75</v>
      </c>
      <c r="F461" s="4" t="str">
        <f t="shared" si="37"/>
        <v>Woman</v>
      </c>
      <c r="G461" s="4">
        <f ca="1">_xlfn.DAYS(TODAY(),Table1[[#This Row],[eventDate]])</f>
        <v>496</v>
      </c>
      <c r="H461" t="s">
        <v>32</v>
      </c>
      <c r="I461" t="s">
        <v>28</v>
      </c>
      <c r="J461" t="s">
        <v>29</v>
      </c>
      <c r="K461" s="1">
        <v>45645</v>
      </c>
      <c r="L461">
        <f t="shared" si="38"/>
        <v>28</v>
      </c>
      <c r="M461">
        <f>IF(Table1[[#This Row],[Alive]]="No",Table1[[#This Row],[daysDeath]],Table1[[#This Row],[daysSince]])</f>
        <v>28</v>
      </c>
      <c r="N461">
        <v>120</v>
      </c>
      <c r="O461">
        <v>9.8000000000000007</v>
      </c>
      <c r="P461">
        <v>302</v>
      </c>
      <c r="Q461">
        <v>13</v>
      </c>
      <c r="R461">
        <v>3.7</v>
      </c>
      <c r="S461">
        <v>66</v>
      </c>
      <c r="T461">
        <v>306</v>
      </c>
      <c r="U461">
        <v>21</v>
      </c>
      <c r="V461">
        <v>43</v>
      </c>
      <c r="W461">
        <v>85.2</v>
      </c>
      <c r="X461" t="s">
        <v>30</v>
      </c>
      <c r="Y461" t="s">
        <v>29</v>
      </c>
      <c r="Z461" t="s">
        <v>29</v>
      </c>
    </row>
    <row r="462" spans="1:27" ht="30" customHeight="1">
      <c r="A462">
        <v>2612476016</v>
      </c>
      <c r="B462">
        <f>COUNTIF(A:A,A462)</f>
        <v>1</v>
      </c>
      <c r="C462" s="1">
        <f t="shared" ca="1" si="36"/>
        <v>17527</v>
      </c>
      <c r="D462" s="1">
        <v>45624</v>
      </c>
      <c r="E462" s="4">
        <f ca="1">DATEDIF(Table1[[#This Row],[DOB]],Table1[[#This Row],[eventDate]],"Y")</f>
        <v>76</v>
      </c>
      <c r="F462" s="4" t="str">
        <f t="shared" si="37"/>
        <v>Man</v>
      </c>
      <c r="G462" s="4">
        <f ca="1">_xlfn.DAYS(TODAY(),Table1[[#This Row],[eventDate]])</f>
        <v>489</v>
      </c>
      <c r="H462" t="s">
        <v>27</v>
      </c>
      <c r="I462" t="s">
        <v>28</v>
      </c>
      <c r="J462" t="s">
        <v>29</v>
      </c>
      <c r="K462" s="1">
        <v>45691</v>
      </c>
      <c r="L462">
        <f t="shared" si="38"/>
        <v>67</v>
      </c>
      <c r="M462">
        <f>IF(Table1[[#This Row],[Alive]]="No",Table1[[#This Row],[daysDeath]],Table1[[#This Row],[daysSince]])</f>
        <v>67</v>
      </c>
      <c r="N462">
        <v>139</v>
      </c>
      <c r="O462">
        <v>10.5</v>
      </c>
      <c r="P462">
        <v>263</v>
      </c>
      <c r="Q462">
        <v>11</v>
      </c>
      <c r="R462">
        <v>7.4</v>
      </c>
      <c r="S462">
        <v>146</v>
      </c>
      <c r="T462">
        <v>114</v>
      </c>
      <c r="U462">
        <v>27</v>
      </c>
      <c r="V462">
        <v>10</v>
      </c>
      <c r="W462">
        <v>65.599999999999994</v>
      </c>
      <c r="X462" t="s">
        <v>30</v>
      </c>
      <c r="Y462" t="s">
        <v>29</v>
      </c>
      <c r="Z462" t="s">
        <v>29</v>
      </c>
    </row>
    <row r="463" spans="1:27" ht="30" customHeight="1">
      <c r="A463">
        <v>2808526369</v>
      </c>
      <c r="B463">
        <f>COUNTIF(A:A,A463)</f>
        <v>1</v>
      </c>
      <c r="C463" s="1">
        <f t="shared" ca="1" si="36"/>
        <v>19234</v>
      </c>
      <c r="D463" s="1">
        <v>45629</v>
      </c>
      <c r="E463" s="4">
        <f ca="1">DATEDIF(Table1[[#This Row],[DOB]],Table1[[#This Row],[eventDate]],"Y")</f>
        <v>72</v>
      </c>
      <c r="F463" s="4" t="str">
        <f t="shared" si="37"/>
        <v>Woman</v>
      </c>
      <c r="G463" s="4">
        <f ca="1">_xlfn.DAYS(TODAY(),Table1[[#This Row],[eventDate]])</f>
        <v>484</v>
      </c>
      <c r="H463" t="s">
        <v>27</v>
      </c>
      <c r="I463" t="s">
        <v>34</v>
      </c>
      <c r="J463" t="s">
        <v>29</v>
      </c>
      <c r="K463" s="1">
        <v>45818</v>
      </c>
      <c r="L463">
        <f t="shared" si="38"/>
        <v>189</v>
      </c>
      <c r="M463">
        <f>IF(Table1[[#This Row],[Alive]]="No",Table1[[#This Row],[daysDeath]],Table1[[#This Row],[daysSince]])</f>
        <v>189</v>
      </c>
      <c r="N463">
        <v>106</v>
      </c>
      <c r="O463">
        <v>20.399999999999999</v>
      </c>
      <c r="P463">
        <v>243</v>
      </c>
      <c r="Q463">
        <v>14</v>
      </c>
      <c r="R463">
        <v>3.6</v>
      </c>
      <c r="S463">
        <v>49</v>
      </c>
      <c r="T463">
        <v>40</v>
      </c>
      <c r="U463">
        <v>20</v>
      </c>
      <c r="V463">
        <v>211</v>
      </c>
      <c r="W463">
        <v>56</v>
      </c>
      <c r="X463" t="s">
        <v>30</v>
      </c>
      <c r="Y463" t="s">
        <v>29</v>
      </c>
      <c r="Z463" t="s">
        <v>29</v>
      </c>
    </row>
    <row r="464" spans="1:27" ht="30" customHeight="1">
      <c r="A464">
        <v>2108526277</v>
      </c>
      <c r="B464">
        <f>COUNTIF(A:A,A464)</f>
        <v>1</v>
      </c>
      <c r="C464" s="1">
        <f t="shared" ca="1" si="36"/>
        <v>19227</v>
      </c>
      <c r="D464" s="1">
        <v>45631</v>
      </c>
      <c r="E464" s="4">
        <f ca="1">DATEDIF(Table1[[#This Row],[DOB]],Table1[[#This Row],[eventDate]],"Y")</f>
        <v>72</v>
      </c>
      <c r="F464" s="4" t="str">
        <f t="shared" si="37"/>
        <v>Man</v>
      </c>
      <c r="G464" s="4">
        <f ca="1">_xlfn.DAYS(TODAY(),Table1[[#This Row],[eventDate]])</f>
        <v>482</v>
      </c>
      <c r="H464" t="s">
        <v>27</v>
      </c>
      <c r="I464" t="s">
        <v>28</v>
      </c>
      <c r="J464" t="s">
        <v>29</v>
      </c>
      <c r="K464" s="1">
        <v>45776</v>
      </c>
      <c r="L464">
        <f t="shared" si="38"/>
        <v>145</v>
      </c>
      <c r="M464">
        <f>IF(Table1[[#This Row],[Alive]]="No",Table1[[#This Row],[daysDeath]],Table1[[#This Row],[daysSince]])</f>
        <v>145</v>
      </c>
      <c r="N464">
        <v>84</v>
      </c>
      <c r="O464">
        <v>7.4</v>
      </c>
      <c r="P464">
        <v>166</v>
      </c>
      <c r="Q464">
        <v>13</v>
      </c>
      <c r="R464">
        <v>8.4</v>
      </c>
      <c r="S464">
        <v>122</v>
      </c>
      <c r="T464">
        <v>289</v>
      </c>
      <c r="U464">
        <v>13</v>
      </c>
      <c r="V464">
        <v>161</v>
      </c>
      <c r="W464">
        <v>53</v>
      </c>
      <c r="X464" t="s">
        <v>30</v>
      </c>
      <c r="Y464" t="s">
        <v>31</v>
      </c>
      <c r="Z464" t="s">
        <v>29</v>
      </c>
    </row>
    <row r="465" spans="1:26" ht="30" customHeight="1">
      <c r="A465">
        <v>1508533148</v>
      </c>
      <c r="B465">
        <f>COUNTIF(A:A,A465)</f>
        <v>1</v>
      </c>
      <c r="C465" s="1">
        <f t="shared" ca="1" si="36"/>
        <v>19586</v>
      </c>
      <c r="D465" s="1">
        <v>45636</v>
      </c>
      <c r="E465" s="4">
        <f ca="1">DATEDIF(Table1[[#This Row],[DOB]],Table1[[#This Row],[eventDate]],"Y")</f>
        <v>71</v>
      </c>
      <c r="F465" s="4" t="str">
        <f t="shared" si="37"/>
        <v>Woman</v>
      </c>
      <c r="G465" s="4">
        <f ca="1">_xlfn.DAYS(TODAY(),Table1[[#This Row],[eventDate]])</f>
        <v>477</v>
      </c>
      <c r="H465" t="s">
        <v>27</v>
      </c>
      <c r="I465" t="s">
        <v>28</v>
      </c>
      <c r="J465" t="s">
        <v>29</v>
      </c>
      <c r="K465" s="1">
        <v>45918</v>
      </c>
      <c r="L465">
        <f t="shared" si="38"/>
        <v>282</v>
      </c>
      <c r="M465">
        <f>IF(Table1[[#This Row],[Alive]]="No",Table1[[#This Row],[daysDeath]],Table1[[#This Row],[daysSince]])</f>
        <v>282</v>
      </c>
      <c r="N465">
        <v>100</v>
      </c>
      <c r="O465">
        <v>5</v>
      </c>
      <c r="P465">
        <v>217</v>
      </c>
      <c r="Q465">
        <v>12</v>
      </c>
      <c r="R465">
        <v>2.2999999999999998</v>
      </c>
      <c r="S465">
        <v>33</v>
      </c>
      <c r="T465">
        <v>278</v>
      </c>
      <c r="U465">
        <v>21</v>
      </c>
      <c r="V465">
        <v>84</v>
      </c>
      <c r="W465">
        <v>68</v>
      </c>
      <c r="X465" t="s">
        <v>30</v>
      </c>
      <c r="Y465" t="s">
        <v>31</v>
      </c>
      <c r="Z465" t="s">
        <v>29</v>
      </c>
    </row>
    <row r="466" spans="1:26" ht="30" customHeight="1">
      <c r="A466">
        <v>102463166</v>
      </c>
      <c r="B466">
        <f>COUNTIF(A:A,A466)</f>
        <v>1</v>
      </c>
      <c r="C466" s="1">
        <f t="shared" ca="1" si="36"/>
        <v>16834</v>
      </c>
      <c r="D466" s="1">
        <v>45638</v>
      </c>
      <c r="E466" s="4">
        <f ca="1">DATEDIF(Table1[[#This Row],[DOB]],Table1[[#This Row],[eventDate]],"Y")</f>
        <v>78</v>
      </c>
      <c r="F466" s="4" t="str">
        <f t="shared" si="37"/>
        <v>Woman</v>
      </c>
      <c r="G466" s="4">
        <f ca="1">_xlfn.DAYS(TODAY(),Table1[[#This Row],[eventDate]])</f>
        <v>475</v>
      </c>
      <c r="H466" t="s">
        <v>32</v>
      </c>
      <c r="I466" t="s">
        <v>28</v>
      </c>
      <c r="J466" t="s">
        <v>29</v>
      </c>
      <c r="K466" s="1">
        <v>45770</v>
      </c>
      <c r="L466">
        <f t="shared" si="38"/>
        <v>132</v>
      </c>
      <c r="M466">
        <f>IF(Table1[[#This Row],[Alive]]="No",Table1[[#This Row],[daysDeath]],Table1[[#This Row],[daysSince]])</f>
        <v>132</v>
      </c>
      <c r="N466">
        <v>123</v>
      </c>
      <c r="O466">
        <v>7.6</v>
      </c>
      <c r="P466">
        <v>477</v>
      </c>
      <c r="Q466">
        <v>12</v>
      </c>
      <c r="R466">
        <v>4.5</v>
      </c>
      <c r="S466">
        <v>57</v>
      </c>
      <c r="T466">
        <v>155</v>
      </c>
      <c r="U466">
        <v>32</v>
      </c>
      <c r="V466">
        <v>6</v>
      </c>
      <c r="W466">
        <v>51.7</v>
      </c>
      <c r="X466" t="s">
        <v>30</v>
      </c>
      <c r="Y466" t="s">
        <v>29</v>
      </c>
      <c r="Z466" t="s">
        <v>29</v>
      </c>
    </row>
    <row r="467" spans="1:26" ht="30" customHeight="1">
      <c r="A467">
        <v>2904646183</v>
      </c>
      <c r="B467">
        <f>COUNTIF(A:A,A467)</f>
        <v>1</v>
      </c>
      <c r="C467" s="1">
        <f t="shared" ca="1" si="36"/>
        <v>23496</v>
      </c>
      <c r="D467" s="1">
        <v>45645</v>
      </c>
      <c r="E467" s="4">
        <f ca="1">DATEDIF(Table1[[#This Row],[DOB]],Table1[[#This Row],[eventDate]],"Y")</f>
        <v>60</v>
      </c>
      <c r="F467" s="4" t="str">
        <f t="shared" si="37"/>
        <v>Woman</v>
      </c>
      <c r="G467" s="4">
        <f ca="1">_xlfn.DAYS(TODAY(),Table1[[#This Row],[eventDate]])</f>
        <v>468</v>
      </c>
      <c r="H467" t="s">
        <v>32</v>
      </c>
      <c r="I467" t="s">
        <v>28</v>
      </c>
      <c r="J467" t="s">
        <v>31</v>
      </c>
      <c r="L467" t="str">
        <f t="shared" si="38"/>
        <v/>
      </c>
      <c r="M467">
        <f ca="1">IF(Table1[[#This Row],[Alive]]="No",Table1[[#This Row],[daysDeath]],Table1[[#This Row],[daysSince]])</f>
        <v>468</v>
      </c>
      <c r="N467">
        <v>122</v>
      </c>
      <c r="O467">
        <v>8.3000000000000007</v>
      </c>
      <c r="P467">
        <v>397</v>
      </c>
      <c r="Q467">
        <v>11</v>
      </c>
      <c r="R467">
        <v>4.0999999999999996</v>
      </c>
      <c r="S467">
        <v>48</v>
      </c>
      <c r="T467">
        <v>353</v>
      </c>
      <c r="U467">
        <v>24</v>
      </c>
      <c r="V467">
        <v>8</v>
      </c>
      <c r="X467" t="s">
        <v>30</v>
      </c>
      <c r="Y467" t="s">
        <v>29</v>
      </c>
      <c r="Z467" t="s">
        <v>29</v>
      </c>
    </row>
    <row r="468" spans="1:26" ht="30" customHeight="1">
      <c r="A468">
        <v>1104446383</v>
      </c>
      <c r="B468">
        <f>COUNTIF(A:A,A468)</f>
        <v>1</v>
      </c>
      <c r="C468" s="1">
        <f t="shared" ca="1" si="36"/>
        <v>16173</v>
      </c>
      <c r="D468" s="1">
        <v>45672</v>
      </c>
      <c r="E468" s="4">
        <f ca="1">DATEDIF(Table1[[#This Row],[DOB]],Table1[[#This Row],[eventDate]],"Y")</f>
        <v>80</v>
      </c>
      <c r="F468" s="4" t="str">
        <f t="shared" si="37"/>
        <v>Woman</v>
      </c>
      <c r="G468" s="4">
        <f ca="1">_xlfn.DAYS(TODAY(),Table1[[#This Row],[eventDate]])</f>
        <v>441</v>
      </c>
      <c r="H468" t="s">
        <v>32</v>
      </c>
      <c r="I468" t="s">
        <v>34</v>
      </c>
      <c r="J468" t="s">
        <v>29</v>
      </c>
      <c r="K468" s="1">
        <v>45793</v>
      </c>
      <c r="L468">
        <f t="shared" si="38"/>
        <v>121</v>
      </c>
      <c r="M468">
        <f>IF(Table1[[#This Row],[Alive]]="No",Table1[[#This Row],[daysDeath]],Table1[[#This Row],[daysSince]])</f>
        <v>121</v>
      </c>
      <c r="N468">
        <v>110</v>
      </c>
      <c r="O468">
        <v>12.9</v>
      </c>
      <c r="P468">
        <v>224</v>
      </c>
      <c r="Q468">
        <v>15</v>
      </c>
      <c r="R468">
        <v>3.5</v>
      </c>
      <c r="S468">
        <v>68</v>
      </c>
      <c r="T468">
        <v>140</v>
      </c>
      <c r="U468">
        <v>24</v>
      </c>
      <c r="V468">
        <v>72</v>
      </c>
      <c r="W468">
        <v>64</v>
      </c>
      <c r="X468" t="s">
        <v>33</v>
      </c>
      <c r="Y468" t="s">
        <v>31</v>
      </c>
      <c r="Z468" t="s">
        <v>29</v>
      </c>
    </row>
    <row r="469" spans="1:26" ht="30" customHeight="1">
      <c r="A469">
        <v>1312515562</v>
      </c>
      <c r="B469">
        <f>COUNTIF(A:A,A469)</f>
        <v>1</v>
      </c>
      <c r="C469" s="1">
        <f t="shared" ca="1" si="36"/>
        <v>18975</v>
      </c>
      <c r="D469" s="1">
        <v>45702</v>
      </c>
      <c r="E469" s="4">
        <f ca="1">DATEDIF(Table1[[#This Row],[DOB]],Table1[[#This Row],[eventDate]],"Y")</f>
        <v>73</v>
      </c>
      <c r="F469" s="4" t="str">
        <f t="shared" si="37"/>
        <v>Woman</v>
      </c>
      <c r="G469" s="4">
        <f ca="1">_xlfn.DAYS(TODAY(),Table1[[#This Row],[eventDate]])</f>
        <v>411</v>
      </c>
      <c r="H469" t="s">
        <v>27</v>
      </c>
      <c r="I469" t="s">
        <v>34</v>
      </c>
      <c r="J469" t="s">
        <v>29</v>
      </c>
      <c r="K469" s="1">
        <v>45778</v>
      </c>
      <c r="L469">
        <f t="shared" si="38"/>
        <v>76</v>
      </c>
      <c r="M469">
        <f>IF(Table1[[#This Row],[Alive]]="No",Table1[[#This Row],[daysDeath]],Table1[[#This Row],[daysSince]])</f>
        <v>76</v>
      </c>
      <c r="N469">
        <v>102</v>
      </c>
      <c r="O469">
        <v>7.5</v>
      </c>
      <c r="P469">
        <v>362</v>
      </c>
      <c r="Q469">
        <v>13</v>
      </c>
      <c r="R469">
        <v>1.4</v>
      </c>
      <c r="S469">
        <v>25</v>
      </c>
      <c r="T469">
        <v>344</v>
      </c>
      <c r="U469">
        <v>20</v>
      </c>
      <c r="V469">
        <v>34</v>
      </c>
      <c r="W469">
        <v>75</v>
      </c>
      <c r="X469" t="s">
        <v>30</v>
      </c>
      <c r="Y469" t="s">
        <v>29</v>
      </c>
      <c r="Z469" t="s">
        <v>31</v>
      </c>
    </row>
    <row r="470" spans="1:26" ht="30" customHeight="1">
      <c r="A470">
        <v>2506706194</v>
      </c>
      <c r="B470">
        <f>COUNTIF(A:A,A470)</f>
        <v>1</v>
      </c>
      <c r="C470" s="1">
        <f t="shared" ca="1" si="36"/>
        <v>25744</v>
      </c>
      <c r="D470" s="1">
        <v>45719</v>
      </c>
      <c r="E470" s="4">
        <f ca="1">DATEDIF(Table1[[#This Row],[DOB]],Table1[[#This Row],[eventDate]],"Y")</f>
        <v>54</v>
      </c>
      <c r="F470" s="4" t="str">
        <f t="shared" si="37"/>
        <v>Man</v>
      </c>
      <c r="G470" s="4">
        <f ca="1">_xlfn.DAYS(TODAY(),Table1[[#This Row],[eventDate]])</f>
        <v>394</v>
      </c>
      <c r="H470" t="s">
        <v>32</v>
      </c>
      <c r="I470" t="s">
        <v>34</v>
      </c>
      <c r="J470" t="s">
        <v>29</v>
      </c>
      <c r="K470" s="1">
        <v>45735</v>
      </c>
      <c r="L470">
        <f t="shared" si="38"/>
        <v>16</v>
      </c>
      <c r="M470">
        <f>IF(Table1[[#This Row],[Alive]]="No",Table1[[#This Row],[daysDeath]],Table1[[#This Row],[daysSince]])</f>
        <v>16</v>
      </c>
      <c r="N470">
        <v>100</v>
      </c>
      <c r="O470">
        <v>7.2</v>
      </c>
      <c r="P470">
        <v>231</v>
      </c>
      <c r="Q470">
        <v>11</v>
      </c>
      <c r="R470">
        <v>4.0999999999999996</v>
      </c>
      <c r="S470">
        <v>84</v>
      </c>
      <c r="T470">
        <v>510</v>
      </c>
      <c r="U470">
        <v>22</v>
      </c>
      <c r="V470">
        <v>26</v>
      </c>
      <c r="W470">
        <v>61</v>
      </c>
      <c r="X470" t="s">
        <v>30</v>
      </c>
      <c r="Y470" t="s">
        <v>29</v>
      </c>
      <c r="Z470" t="s">
        <v>31</v>
      </c>
    </row>
    <row r="471" spans="1:26" ht="27.75">
      <c r="A471">
        <v>2708453513</v>
      </c>
      <c r="B471">
        <f>COUNTIF(A:A,A471)</f>
        <v>1</v>
      </c>
      <c r="C471" s="1">
        <f ca="1">DATE(
    IF(VALUE(MID(TEXT(A471,"0000000000"),5,2)) &gt; VALUE(TEXT(TODAY(),"YY")),
       1900 + VALUE(MID(TEXT(A471,"0000000000"),5,2)),
       2000 + VALUE(MID(TEXT(A471,"0000000000"),5,2))
    ),
    VALUE(MID(TEXT(A471,"0000000000"),3,2)),
    VALUE(LEFT(TEXT(A471,"0000000000"),2))
)</f>
        <v>16676</v>
      </c>
      <c r="D471" s="1">
        <v>45680</v>
      </c>
      <c r="E471" s="4">
        <f ca="1">DATEDIF(Table1[[#This Row],[DOB]],Table1[[#This Row],[eventDate]],"Y")</f>
        <v>79</v>
      </c>
      <c r="F471" s="4" t="str">
        <f>IF(MOD(VALUE(MID(TEXT(A471,"0000000000"),9,1)),2)=0,"Woman","Man")</f>
        <v>Man</v>
      </c>
      <c r="G471" s="4">
        <f ca="1">_xlfn.DAYS(TODAY(),Table1[[#This Row],[eventDate]])</f>
        <v>433</v>
      </c>
      <c r="I471" t="s">
        <v>28</v>
      </c>
      <c r="J471" t="s">
        <v>29</v>
      </c>
      <c r="K471" s="1">
        <v>45690</v>
      </c>
      <c r="L471">
        <f>IF(J471="No",_xlfn.DAYS(K471,D471),"")</f>
        <v>10</v>
      </c>
      <c r="M471">
        <f>IF(Table1[[#This Row],[Alive]]="No",Table1[[#This Row],[daysDeath]],Table1[[#This Row],[daysSince]])</f>
        <v>10</v>
      </c>
      <c r="N471">
        <v>134</v>
      </c>
      <c r="O471">
        <v>6.6</v>
      </c>
      <c r="P471">
        <v>204</v>
      </c>
      <c r="Q471">
        <v>13</v>
      </c>
      <c r="R471">
        <v>3.6</v>
      </c>
      <c r="S471">
        <v>70</v>
      </c>
      <c r="T471">
        <v>372</v>
      </c>
      <c r="U471">
        <v>20</v>
      </c>
      <c r="V471">
        <v>27</v>
      </c>
      <c r="W471">
        <v>102</v>
      </c>
      <c r="X471" s="2" t="s">
        <v>30</v>
      </c>
      <c r="Y471" t="s">
        <v>31</v>
      </c>
      <c r="Z471" t="s">
        <v>31</v>
      </c>
    </row>
    <row r="472" spans="1:26" ht="27.75">
      <c r="A472">
        <v>1305693388</v>
      </c>
      <c r="B472">
        <f>COUNTIF(A:A,A472)</f>
        <v>1</v>
      </c>
      <c r="C472" s="1">
        <f ca="1">DATE(
    IF(VALUE(MID(TEXT(A472,"0000000000"),5,2)) &gt; VALUE(TEXT(TODAY(),"YY")),
       1900 + VALUE(MID(TEXT(A472,"0000000000"),5,2)),
       2000 + VALUE(MID(TEXT(A472,"0000000000"),5,2))
    ),
    VALUE(MID(TEXT(A472,"0000000000"),3,2)),
    VALUE(LEFT(TEXT(A472,"0000000000"),2))
)</f>
        <v>25336</v>
      </c>
      <c r="D472" s="1">
        <v>45748</v>
      </c>
      <c r="E472" s="4">
        <f ca="1">DATEDIF(Table1[[#This Row],[DOB]],Table1[[#This Row],[eventDate]],"Y")</f>
        <v>55</v>
      </c>
      <c r="F472" s="4" t="str">
        <f>IF(MOD(VALUE(MID(TEXT(A472,"0000000000"),9,1)),2)=0,"Woman","Man")</f>
        <v>Woman</v>
      </c>
      <c r="G472" s="4">
        <f ca="1">_xlfn.DAYS(TODAY(),Table1[[#This Row],[eventDate]])</f>
        <v>365</v>
      </c>
      <c r="I472" t="s">
        <v>28</v>
      </c>
      <c r="J472" t="s">
        <v>31</v>
      </c>
      <c r="K472" s="1"/>
      <c r="L472" t="str">
        <f>IF(J472="No",_xlfn.DAYS(K472,D472),"")</f>
        <v/>
      </c>
      <c r="M472">
        <f ca="1">IF(Table1[[#This Row],[Alive]]="No",Table1[[#This Row],[daysDeath]],Table1[[#This Row],[daysSince]])</f>
        <v>365</v>
      </c>
      <c r="N472">
        <v>94</v>
      </c>
      <c r="O472">
        <v>6.8</v>
      </c>
      <c r="P472">
        <v>456</v>
      </c>
      <c r="Q472">
        <v>12</v>
      </c>
      <c r="R472">
        <v>3.8</v>
      </c>
      <c r="S472">
        <v>38</v>
      </c>
      <c r="T472">
        <v>51</v>
      </c>
      <c r="U472">
        <v>27</v>
      </c>
      <c r="V472">
        <v>49</v>
      </c>
      <c r="W472">
        <v>78</v>
      </c>
      <c r="X472" s="2" t="s">
        <v>30</v>
      </c>
      <c r="Y472" t="s">
        <v>29</v>
      </c>
      <c r="Z472" t="s">
        <v>29</v>
      </c>
    </row>
    <row r="473" spans="1:26" ht="27.75">
      <c r="A473">
        <v>3012676511</v>
      </c>
      <c r="B473">
        <f>COUNTIF(A:A,A473)</f>
        <v>1</v>
      </c>
      <c r="C473" s="1">
        <f ca="1">DATE(
    IF(VALUE(MID(TEXT(A473,"0000000000"),5,2)) &gt; VALUE(TEXT(TODAY(),"YY")),
       1900 + VALUE(MID(TEXT(A473,"0000000000"),5,2)),
       2000 + VALUE(MID(TEXT(A473,"0000000000"),5,2))
    ),
    VALUE(MID(TEXT(A473,"0000000000"),3,2)),
    VALUE(LEFT(TEXT(A473,"0000000000"),2))
)</f>
        <v>24836</v>
      </c>
      <c r="D473" s="1">
        <v>45751</v>
      </c>
      <c r="E473" s="4">
        <f ca="1">DATEDIF(Table1[[#This Row],[DOB]],Table1[[#This Row],[eventDate]],"Y")</f>
        <v>57</v>
      </c>
      <c r="F473" s="4" t="str">
        <f>IF(MOD(VALUE(MID(TEXT(A473,"0000000000"),9,1)),2)=0,"Woman","Man")</f>
        <v>Man</v>
      </c>
      <c r="G473" s="4">
        <f ca="1">_xlfn.DAYS(TODAY(),Table1[[#This Row],[eventDate]])</f>
        <v>362</v>
      </c>
      <c r="I473" t="s">
        <v>28</v>
      </c>
      <c r="J473" t="s">
        <v>29</v>
      </c>
      <c r="K473" s="1">
        <v>45983</v>
      </c>
      <c r="L473">
        <f>IF(J473="No",_xlfn.DAYS(K473,D473),"")</f>
        <v>232</v>
      </c>
      <c r="M473">
        <f>IF(Table1[[#This Row],[Alive]]="No",Table1[[#This Row],[daysDeath]],Table1[[#This Row],[daysSince]])</f>
        <v>232</v>
      </c>
      <c r="N473">
        <v>109</v>
      </c>
      <c r="O473">
        <v>4.0999999999999996</v>
      </c>
      <c r="P473">
        <v>106</v>
      </c>
      <c r="Q473">
        <v>17</v>
      </c>
      <c r="R473">
        <v>3.4</v>
      </c>
      <c r="S473">
        <v>62</v>
      </c>
      <c r="T473">
        <v>208</v>
      </c>
      <c r="U473">
        <v>26</v>
      </c>
      <c r="V473">
        <v>61</v>
      </c>
      <c r="W473">
        <v>86</v>
      </c>
      <c r="X473" s="2" t="s">
        <v>30</v>
      </c>
      <c r="Y473" t="s">
        <v>29</v>
      </c>
      <c r="Z473" t="s">
        <v>29</v>
      </c>
    </row>
    <row r="474" spans="1:26" ht="27.75">
      <c r="A474">
        <v>1901766136</v>
      </c>
      <c r="B474">
        <f>COUNTIF(A:A,A474)</f>
        <v>1</v>
      </c>
      <c r="C474" s="1">
        <f ca="1">DATE(
    IF(VALUE(MID(TEXT(A474,"0000000000"),5,2)) &gt; VALUE(TEXT(TODAY(),"YY")),
       1900 + VALUE(MID(TEXT(A474,"0000000000"),5,2)),
       2000 + VALUE(MID(TEXT(A474,"0000000000"),5,2))
    ),
    VALUE(MID(TEXT(A474,"0000000000"),3,2)),
    VALUE(LEFT(TEXT(A474,"0000000000"),2))
)</f>
        <v>27778</v>
      </c>
      <c r="D474" s="1">
        <v>45785</v>
      </c>
      <c r="E474" s="4">
        <f ca="1">DATEDIF(Table1[[#This Row],[DOB]],Table1[[#This Row],[eventDate]],"Y")</f>
        <v>49</v>
      </c>
      <c r="F474" s="4" t="str">
        <f>IF(MOD(VALUE(MID(TEXT(A474,"0000000000"),9,1)),2)=0,"Woman","Man")</f>
        <v>Man</v>
      </c>
      <c r="G474" s="4">
        <f ca="1">_xlfn.DAYS(TODAY(),Table1[[#This Row],[eventDate]])</f>
        <v>328</v>
      </c>
      <c r="I474" t="s">
        <v>28</v>
      </c>
      <c r="J474" t="s">
        <v>29</v>
      </c>
      <c r="K474" s="1">
        <v>45806</v>
      </c>
      <c r="L474">
        <f>IF(J474="No",_xlfn.DAYS(K474,D474),"")</f>
        <v>21</v>
      </c>
      <c r="M474">
        <f>IF(Table1[[#This Row],[Alive]]="No",Table1[[#This Row],[daysDeath]],Table1[[#This Row],[daysSince]])</f>
        <v>21</v>
      </c>
      <c r="N474">
        <v>116</v>
      </c>
      <c r="O474">
        <v>5.9</v>
      </c>
      <c r="P474">
        <v>390</v>
      </c>
      <c r="Q474">
        <v>12</v>
      </c>
      <c r="R474">
        <v>4.0999999999999996</v>
      </c>
      <c r="S474">
        <v>88</v>
      </c>
      <c r="T474">
        <v>132</v>
      </c>
      <c r="U474">
        <v>24</v>
      </c>
      <c r="V474">
        <v>44</v>
      </c>
      <c r="X474" s="2" t="s">
        <v>30</v>
      </c>
      <c r="Y474" t="s">
        <v>31</v>
      </c>
      <c r="Z474" t="s">
        <v>29</v>
      </c>
    </row>
    <row r="475" spans="1:26" ht="27.75">
      <c r="A475">
        <v>1112456139</v>
      </c>
      <c r="B475">
        <f>COUNTIF(A:A,A475)</f>
        <v>1</v>
      </c>
      <c r="C475" s="1">
        <f ca="1">DATE(
    IF(VALUE(MID(TEXT(A475,"0000000000"),5,2)) &gt; VALUE(TEXT(TODAY(),"YY")),
       1900 + VALUE(MID(TEXT(A475,"0000000000"),5,2)),
       2000 + VALUE(MID(TEXT(A475,"0000000000"),5,2))
    ),
    VALUE(MID(TEXT(A475,"0000000000"),3,2)),
    VALUE(LEFT(TEXT(A475,"0000000000"),2))
)</f>
        <v>16782</v>
      </c>
      <c r="D475" s="1">
        <v>45785</v>
      </c>
      <c r="E475" s="4">
        <f ca="1">DATEDIF(Table1[[#This Row],[DOB]],Table1[[#This Row],[eventDate]],"Y")</f>
        <v>79</v>
      </c>
      <c r="F475" s="4" t="str">
        <f>IF(MOD(VALUE(MID(TEXT(A475,"0000000000"),9,1)),2)=0,"Woman","Man")</f>
        <v>Man</v>
      </c>
      <c r="G475" s="4">
        <f ca="1">_xlfn.DAYS(TODAY(),Table1[[#This Row],[eventDate]])</f>
        <v>328</v>
      </c>
      <c r="I475" t="s">
        <v>28</v>
      </c>
      <c r="J475" t="s">
        <v>29</v>
      </c>
      <c r="K475" s="1">
        <v>45923</v>
      </c>
      <c r="L475">
        <f>IF(J475="No",_xlfn.DAYS(K475,D475),"")</f>
        <v>138</v>
      </c>
      <c r="M475">
        <f>IF(Table1[[#This Row],[Alive]]="No",Table1[[#This Row],[daysDeath]],Table1[[#This Row],[daysSince]])</f>
        <v>138</v>
      </c>
      <c r="N475">
        <v>121</v>
      </c>
      <c r="O475">
        <v>13.9</v>
      </c>
      <c r="P475">
        <v>382</v>
      </c>
      <c r="Q475">
        <v>14</v>
      </c>
      <c r="R475">
        <v>4.7</v>
      </c>
      <c r="S475">
        <v>59</v>
      </c>
      <c r="T475">
        <v>310</v>
      </c>
      <c r="U475">
        <v>20</v>
      </c>
      <c r="V475">
        <v>57</v>
      </c>
      <c r="W475">
        <v>84</v>
      </c>
      <c r="X475" s="2" t="s">
        <v>30</v>
      </c>
      <c r="Y475" t="s">
        <v>29</v>
      </c>
      <c r="Z475" t="s">
        <v>29</v>
      </c>
    </row>
    <row r="476" spans="1:26" s="2" customFormat="1" ht="29.25">
      <c r="A476" s="2">
        <v>912403462</v>
      </c>
      <c r="B476" s="2">
        <f>COUNTIF(A:A,A476)</f>
        <v>1</v>
      </c>
      <c r="C476" s="5">
        <f ca="1">DATE(
    IF(VALUE(MID(TEXT(A476,"0000000000"),5,2)) &gt; VALUE(TEXT(TODAY(),"YY")),
       1900 + VALUE(MID(TEXT(A476,"0000000000"),5,2)),
       2000 + VALUE(MID(TEXT(A476,"0000000000"),5,2))
    ),
    VALUE(MID(TEXT(A476,"0000000000"),3,2)),
    VALUE(LEFT(TEXT(A476,"0000000000"),2))
)</f>
        <v>14954</v>
      </c>
      <c r="D476" s="5">
        <v>45804</v>
      </c>
      <c r="E476" s="3">
        <f ca="1">DATEDIF(Table1[[#This Row],[DOB]],Table1[[#This Row],[eventDate]],"Y")</f>
        <v>84</v>
      </c>
      <c r="F476" s="3" t="str">
        <f>IF(MOD(VALUE(MID(TEXT(A476,"0000000000"),9,1)),2)=0,"Woman","Man")</f>
        <v>Woman</v>
      </c>
      <c r="G476" s="3">
        <f ca="1">_xlfn.DAYS(TODAY(),Table1[[#This Row],[eventDate]])</f>
        <v>309</v>
      </c>
      <c r="I476" s="2" t="s">
        <v>28</v>
      </c>
      <c r="J476" s="2" t="s">
        <v>31</v>
      </c>
      <c r="K476" s="5"/>
      <c r="L476" s="2" t="str">
        <f>IF(J476="No",_xlfn.DAYS(K476,D476),"")</f>
        <v/>
      </c>
      <c r="M476" s="2">
        <f ca="1">IF(Table1[[#This Row],[Alive]]="No",Table1[[#This Row],[daysDeath]],Table1[[#This Row],[daysSince]])</f>
        <v>309</v>
      </c>
      <c r="N476" s="2">
        <v>103</v>
      </c>
      <c r="O476" s="2">
        <v>6.8</v>
      </c>
      <c r="P476" s="2">
        <v>210</v>
      </c>
      <c r="Q476" s="2">
        <v>14</v>
      </c>
      <c r="R476" s="2">
        <v>1.3</v>
      </c>
      <c r="S476" s="2">
        <v>28</v>
      </c>
      <c r="T476" s="2">
        <v>381</v>
      </c>
      <c r="U476" s="2">
        <v>21</v>
      </c>
      <c r="V476" s="2">
        <v>19</v>
      </c>
      <c r="X476" s="2" t="s">
        <v>33</v>
      </c>
      <c r="Y476" s="2" t="s">
        <v>31</v>
      </c>
      <c r="Z476" s="2" t="s">
        <v>29</v>
      </c>
    </row>
    <row r="477" spans="1:26" ht="27.75">
      <c r="A477">
        <v>2807766420</v>
      </c>
      <c r="B477">
        <f>COUNTIF(A:A,A477)</f>
        <v>1</v>
      </c>
      <c r="C477" s="1">
        <f ca="1">DATE(
    IF(VALUE(MID(TEXT(A477,"0000000000"),5,2)) &gt; VALUE(TEXT(TODAY(),"YY")),
       1900 + VALUE(MID(TEXT(A477,"0000000000"),5,2)),
       2000 + VALUE(MID(TEXT(A477,"0000000000"),5,2))
    ),
    VALUE(MID(TEXT(A477,"0000000000"),3,2)),
    VALUE(LEFT(TEXT(A477,"0000000000"),2))
)</f>
        <v>27969</v>
      </c>
      <c r="D477" s="1">
        <v>45828</v>
      </c>
      <c r="E477" s="4">
        <f ca="1">DATEDIF(Table1[[#This Row],[DOB]],Table1[[#This Row],[eventDate]],"Y")</f>
        <v>48</v>
      </c>
      <c r="F477" s="4" t="str">
        <f>IF(MOD(VALUE(MID(TEXT(A477,"0000000000"),9,1)),2)=0,"Woman","Man")</f>
        <v>Woman</v>
      </c>
      <c r="G477" s="4">
        <f ca="1">_xlfn.DAYS(TODAY(),Table1[[#This Row],[eventDate]])</f>
        <v>285</v>
      </c>
      <c r="I477" t="s">
        <v>28</v>
      </c>
      <c r="J477" t="s">
        <v>29</v>
      </c>
      <c r="K477" s="1">
        <v>45891</v>
      </c>
      <c r="L477">
        <f>IF(J477="No",_xlfn.DAYS(K477,D477),"")</f>
        <v>63</v>
      </c>
      <c r="M477">
        <f>IF(Table1[[#This Row],[Alive]]="No",Table1[[#This Row],[daysDeath]],Table1[[#This Row],[daysSince]])</f>
        <v>63</v>
      </c>
      <c r="N477">
        <v>82</v>
      </c>
      <c r="O477">
        <v>16.3</v>
      </c>
      <c r="P477">
        <v>245</v>
      </c>
      <c r="Q477">
        <v>14</v>
      </c>
      <c r="R477">
        <v>3</v>
      </c>
      <c r="S477">
        <v>41</v>
      </c>
      <c r="T477">
        <v>239</v>
      </c>
      <c r="U477">
        <v>23</v>
      </c>
      <c r="V477">
        <v>254</v>
      </c>
      <c r="W477">
        <v>71</v>
      </c>
      <c r="X477" s="2" t="s">
        <v>30</v>
      </c>
      <c r="Y477" t="s">
        <v>31</v>
      </c>
      <c r="Z477" t="s">
        <v>29</v>
      </c>
    </row>
    <row r="478" spans="1:26" ht="27.75">
      <c r="A478">
        <v>3012673466</v>
      </c>
      <c r="B478">
        <f>COUNTIF(A:A,A478)</f>
        <v>1</v>
      </c>
      <c r="C478" s="1">
        <f ca="1">DATE(
    IF(VALUE(MID(TEXT(A478,"0000000000"),5,2)) &gt; VALUE(TEXT(TODAY(),"YY")),
       1900 + VALUE(MID(TEXT(A478,"0000000000"),5,2)),
       2000 + VALUE(MID(TEXT(A478,"0000000000"),5,2))
    ),
    VALUE(MID(TEXT(A478,"0000000000"),3,2)),
    VALUE(LEFT(TEXT(A478,"0000000000"),2))
)</f>
        <v>24836</v>
      </c>
      <c r="D478" s="1">
        <v>45862</v>
      </c>
      <c r="E478" s="4">
        <f ca="1">DATEDIF(Table1[[#This Row],[DOB]],Table1[[#This Row],[eventDate]],"Y")</f>
        <v>57</v>
      </c>
      <c r="F478" s="4" t="str">
        <f>IF(MOD(VALUE(MID(TEXT(A478,"0000000000"),9,1)),2)=0,"Woman","Man")</f>
        <v>Woman</v>
      </c>
      <c r="G478" s="4">
        <f ca="1">_xlfn.DAYS(TODAY(),Table1[[#This Row],[eventDate]])</f>
        <v>251</v>
      </c>
      <c r="I478" t="s">
        <v>28</v>
      </c>
      <c r="J478" t="s">
        <v>29</v>
      </c>
      <c r="K478" s="1">
        <v>45875</v>
      </c>
      <c r="L478">
        <f>IF(J478="No",_xlfn.DAYS(K478,D478),"")</f>
        <v>13</v>
      </c>
      <c r="M478">
        <f>IF(Table1[[#This Row],[Alive]]="No",Table1[[#This Row],[daysDeath]],Table1[[#This Row],[daysSince]])</f>
        <v>13</v>
      </c>
      <c r="N478">
        <v>76</v>
      </c>
      <c r="O478">
        <v>13.5</v>
      </c>
      <c r="P478">
        <v>453</v>
      </c>
      <c r="Q478">
        <v>12</v>
      </c>
      <c r="R478">
        <v>3.9</v>
      </c>
      <c r="S478">
        <v>47</v>
      </c>
      <c r="T478">
        <v>184</v>
      </c>
      <c r="U478">
        <v>12</v>
      </c>
      <c r="V478">
        <v>138</v>
      </c>
      <c r="X478" s="2" t="s">
        <v>30</v>
      </c>
      <c r="Y478" t="s">
        <v>31</v>
      </c>
      <c r="Z478" t="s">
        <v>31</v>
      </c>
    </row>
    <row r="479" spans="1:26" s="2" customFormat="1" ht="29.25">
      <c r="A479" s="2">
        <v>703566237</v>
      </c>
      <c r="B479" s="2">
        <f>COUNTIF(A:A,A479)</f>
        <v>1</v>
      </c>
      <c r="C479" s="5">
        <f ca="1">DATE(
    IF(VALUE(MID(TEXT(A479,"0000000000"),5,2)) &gt; VALUE(TEXT(TODAY(),"YY")),
       1900 + VALUE(MID(TEXT(A479,"0000000000"),5,2)),
       2000 + VALUE(MID(TEXT(A479,"0000000000"),5,2))
    ),
    VALUE(MID(TEXT(A479,"0000000000"),3,2)),
    VALUE(LEFT(TEXT(A479,"0000000000"),2))
)</f>
        <v>20521</v>
      </c>
      <c r="D479" s="5">
        <v>45869</v>
      </c>
      <c r="E479" s="3">
        <f ca="1">DATEDIF(Table1[[#This Row],[DOB]],Table1[[#This Row],[eventDate]],"Y")</f>
        <v>69</v>
      </c>
      <c r="F479" s="3" t="str">
        <f>IF(MOD(VALUE(MID(TEXT(A479,"0000000000"),9,1)),2)=0,"Woman","Man")</f>
        <v>Man</v>
      </c>
      <c r="G479" s="3">
        <f ca="1">_xlfn.DAYS(TODAY(),Table1[[#This Row],[eventDate]])</f>
        <v>244</v>
      </c>
      <c r="I479" s="2" t="s">
        <v>28</v>
      </c>
      <c r="J479" s="2" t="s">
        <v>31</v>
      </c>
      <c r="K479" s="5"/>
      <c r="L479" s="2" t="str">
        <f>IF(J479="No",_xlfn.DAYS(K479,D479),"")</f>
        <v/>
      </c>
      <c r="M479" s="2">
        <f ca="1">IF(Table1[[#This Row],[Alive]]="No",Table1[[#This Row],[daysDeath]],Table1[[#This Row],[daysSince]])</f>
        <v>244</v>
      </c>
      <c r="N479" s="2">
        <v>77</v>
      </c>
      <c r="O479" s="2">
        <v>16.600000000000001</v>
      </c>
      <c r="P479" s="2">
        <v>137</v>
      </c>
      <c r="Q479" s="2">
        <v>15</v>
      </c>
      <c r="R479" s="2">
        <v>21.5</v>
      </c>
      <c r="S479" s="2">
        <v>114</v>
      </c>
      <c r="T479" s="2">
        <v>14</v>
      </c>
      <c r="U479" s="2">
        <v>11</v>
      </c>
      <c r="V479" s="2">
        <v>25</v>
      </c>
      <c r="W479" s="2">
        <v>90</v>
      </c>
      <c r="X479" s="2" t="s">
        <v>33</v>
      </c>
      <c r="Y479" s="2" t="s">
        <v>29</v>
      </c>
      <c r="Z479" s="2" t="s">
        <v>29</v>
      </c>
    </row>
    <row r="480" spans="1:26" ht="27.75">
      <c r="A480">
        <v>2907693166</v>
      </c>
      <c r="B480">
        <f>COUNTIF(A:A,A480)</f>
        <v>1</v>
      </c>
      <c r="C480" s="1">
        <f ca="1">DATE(
    IF(VALUE(MID(TEXT(A480,"0000000000"),5,2)) &gt; VALUE(TEXT(TODAY(),"YY")),
       1900 + VALUE(MID(TEXT(A480,"0000000000"),5,2)),
       2000 + VALUE(MID(TEXT(A480,"0000000000"),5,2))
    ),
    VALUE(MID(TEXT(A480,"0000000000"),3,2)),
    VALUE(LEFT(TEXT(A480,"0000000000"),2))
)</f>
        <v>25413</v>
      </c>
      <c r="D480" s="1">
        <v>45874</v>
      </c>
      <c r="E480" s="4">
        <f ca="1">DATEDIF(Table1[[#This Row],[DOB]],Table1[[#This Row],[eventDate]],"Y")</f>
        <v>56</v>
      </c>
      <c r="F480" s="4" t="str">
        <f>IF(MOD(VALUE(MID(TEXT(A480,"0000000000"),9,1)),2)=0,"Woman","Man")</f>
        <v>Woman</v>
      </c>
      <c r="G480" s="4">
        <f ca="1">_xlfn.DAYS(TODAY(),Table1[[#This Row],[eventDate]])</f>
        <v>239</v>
      </c>
      <c r="I480" t="s">
        <v>28</v>
      </c>
      <c r="J480" t="s">
        <v>29</v>
      </c>
      <c r="K480" s="1">
        <v>46026</v>
      </c>
      <c r="L480">
        <f>IF(J480="No",_xlfn.DAYS(K480,D480),"")</f>
        <v>152</v>
      </c>
      <c r="M480">
        <f>IF(Table1[[#This Row],[Alive]]="No",Table1[[#This Row],[daysDeath]],Table1[[#This Row],[daysSince]])</f>
        <v>152</v>
      </c>
      <c r="N480">
        <v>96</v>
      </c>
      <c r="O480">
        <v>9.8000000000000007</v>
      </c>
      <c r="P480">
        <v>337</v>
      </c>
      <c r="Q480">
        <v>11</v>
      </c>
      <c r="R480">
        <v>4.0999999999999996</v>
      </c>
      <c r="S480">
        <v>53</v>
      </c>
      <c r="T480">
        <v>250</v>
      </c>
      <c r="U480">
        <v>28</v>
      </c>
      <c r="V480">
        <v>8</v>
      </c>
      <c r="W480">
        <v>51</v>
      </c>
      <c r="X480" s="2" t="s">
        <v>30</v>
      </c>
      <c r="Y480" t="s">
        <v>31</v>
      </c>
      <c r="Z480" t="s">
        <v>29</v>
      </c>
    </row>
    <row r="481" spans="1:26" ht="27.75">
      <c r="A481">
        <v>2401773010</v>
      </c>
      <c r="B481">
        <f>COUNTIF(A:A,A481)</f>
        <v>1</v>
      </c>
      <c r="C481" s="1">
        <f ca="1">DATE(
    IF(VALUE(MID(TEXT(A481,"0000000000"),5,2)) &gt; VALUE(TEXT(TODAY(),"YY")),
       1900 + VALUE(MID(TEXT(A481,"0000000000"),5,2)),
       2000 + VALUE(MID(TEXT(A481,"0000000000"),5,2))
    ),
    VALUE(MID(TEXT(A481,"0000000000"),3,2)),
    VALUE(LEFT(TEXT(A481,"0000000000"),2))
)</f>
        <v>28149</v>
      </c>
      <c r="D481" s="1">
        <v>45888</v>
      </c>
      <c r="E481" s="4">
        <f ca="1">DATEDIF(Table1[[#This Row],[DOB]],Table1[[#This Row],[eventDate]],"Y")</f>
        <v>48</v>
      </c>
      <c r="F481" s="4" t="str">
        <f>IF(MOD(VALUE(MID(TEXT(A481,"0000000000"),9,1)),2)=0,"Woman","Man")</f>
        <v>Man</v>
      </c>
      <c r="G481" s="4">
        <f ca="1">_xlfn.DAYS(TODAY(),Table1[[#This Row],[eventDate]])</f>
        <v>225</v>
      </c>
      <c r="I481" t="s">
        <v>28</v>
      </c>
      <c r="J481" t="s">
        <v>31</v>
      </c>
      <c r="K481" s="1"/>
      <c r="L481" t="str">
        <f>IF(J481="No",_xlfn.DAYS(K481,D481),"")</f>
        <v/>
      </c>
      <c r="M481">
        <f ca="1">IF(Table1[[#This Row],[Alive]]="No",Table1[[#This Row],[daysDeath]],Table1[[#This Row],[daysSince]])</f>
        <v>225</v>
      </c>
      <c r="N481">
        <v>129</v>
      </c>
      <c r="O481">
        <v>10.5</v>
      </c>
      <c r="P481">
        <v>422</v>
      </c>
      <c r="Q481">
        <v>11</v>
      </c>
      <c r="R481">
        <v>3.4</v>
      </c>
      <c r="S481">
        <v>60</v>
      </c>
      <c r="T481">
        <v>424</v>
      </c>
      <c r="U481">
        <v>29</v>
      </c>
      <c r="V481">
        <v>9</v>
      </c>
      <c r="W481">
        <v>98</v>
      </c>
      <c r="X481" s="2" t="s">
        <v>30</v>
      </c>
      <c r="Y481" t="s">
        <v>31</v>
      </c>
      <c r="Z481" t="s">
        <v>29</v>
      </c>
    </row>
    <row r="482" spans="1:26" ht="27.75">
      <c r="A482">
        <v>401625877</v>
      </c>
      <c r="B482">
        <f>COUNTIF(A:A,A482)</f>
        <v>1</v>
      </c>
      <c r="C482" s="1">
        <f ca="1">DATE(
    IF(VALUE(MID(TEXT(A482,"0000000000"),5,2)) &gt; VALUE(TEXT(TODAY(),"YY")),
       1900 + VALUE(MID(TEXT(A482,"0000000000"),5,2)),
       2000 + VALUE(MID(TEXT(A482,"0000000000"),5,2))
    ),
    VALUE(MID(TEXT(A482,"0000000000"),3,2)),
    VALUE(LEFT(TEXT(A482,"0000000000"),2))
)</f>
        <v>22650</v>
      </c>
      <c r="D482" s="1">
        <v>45911</v>
      </c>
      <c r="E482" s="4">
        <f ca="1">DATEDIF(Table1[[#This Row],[DOB]],Table1[[#This Row],[eventDate]],"Y")</f>
        <v>63</v>
      </c>
      <c r="F482" s="4" t="str">
        <f>IF(MOD(VALUE(MID(TEXT(A482,"0000000000"),9,1)),2)=0,"Woman","Man")</f>
        <v>Man</v>
      </c>
      <c r="G482" s="4">
        <f ca="1">_xlfn.DAYS(TODAY(),Table1[[#This Row],[eventDate]])</f>
        <v>202</v>
      </c>
      <c r="I482" t="s">
        <v>28</v>
      </c>
      <c r="J482" t="s">
        <v>29</v>
      </c>
      <c r="K482" s="1">
        <v>46004</v>
      </c>
      <c r="L482">
        <f>IF(J482="No",_xlfn.DAYS(K482,D482),"")</f>
        <v>93</v>
      </c>
      <c r="M482">
        <f>IF(Table1[[#This Row],[Alive]]="No",Table1[[#This Row],[daysDeath]],Table1[[#This Row],[daysSince]])</f>
        <v>93</v>
      </c>
      <c r="N482">
        <v>80</v>
      </c>
      <c r="O482">
        <v>13.4</v>
      </c>
      <c r="P482">
        <v>353</v>
      </c>
      <c r="Q482">
        <v>12</v>
      </c>
      <c r="R482">
        <v>4.2</v>
      </c>
      <c r="S482">
        <v>70</v>
      </c>
      <c r="T482">
        <v>234</v>
      </c>
      <c r="U482">
        <v>17</v>
      </c>
      <c r="V482">
        <v>140</v>
      </c>
      <c r="W482">
        <v>64</v>
      </c>
      <c r="X482" s="2" t="s">
        <v>30</v>
      </c>
      <c r="Y482" t="s">
        <v>29</v>
      </c>
      <c r="Z482" t="s">
        <v>29</v>
      </c>
    </row>
    <row r="483" spans="1:26" s="2" customFormat="1" ht="29.25">
      <c r="A483" s="2">
        <v>2210766133</v>
      </c>
      <c r="B483" s="2">
        <f>COUNTIF(A:A,A483)</f>
        <v>1</v>
      </c>
      <c r="C483" s="5">
        <f ca="1">DATE(
    IF(VALUE(MID(TEXT(A483,"0000000000"),5,2)) &gt; VALUE(TEXT(TODAY(),"YY")),
       1900 + VALUE(MID(TEXT(A483,"0000000000"),5,2)),
       2000 + VALUE(MID(TEXT(A483,"0000000000"),5,2))
    ),
    VALUE(MID(TEXT(A483,"0000000000"),3,2)),
    VALUE(LEFT(TEXT(A483,"0000000000"),2))
)</f>
        <v>28055</v>
      </c>
      <c r="D483" s="5">
        <v>45960</v>
      </c>
      <c r="E483" s="3">
        <f ca="1">DATEDIF(Table1[[#This Row],[DOB]],Table1[[#This Row],[eventDate]],"Y")</f>
        <v>49</v>
      </c>
      <c r="F483" s="3" t="str">
        <f>IF(MOD(VALUE(MID(TEXT(A483,"0000000000"),9,1)),2)=0,"Woman","Man")</f>
        <v>Man</v>
      </c>
      <c r="G483" s="3">
        <f ca="1">_xlfn.DAYS(TODAY(),Table1[[#This Row],[eventDate]])</f>
        <v>153</v>
      </c>
      <c r="I483" s="2" t="s">
        <v>28</v>
      </c>
      <c r="J483" s="2" t="s">
        <v>31</v>
      </c>
      <c r="K483" s="5"/>
      <c r="L483" s="2" t="str">
        <f>IF(J483="No",_xlfn.DAYS(K483,D483),"")</f>
        <v/>
      </c>
      <c r="M483" s="2">
        <f ca="1">IF(Table1[[#This Row],[Alive]]="No",Table1[[#This Row],[daysDeath]],Table1[[#This Row],[daysSince]])</f>
        <v>153</v>
      </c>
      <c r="N483" s="2">
        <v>90</v>
      </c>
      <c r="O483" s="2">
        <v>9.1</v>
      </c>
      <c r="P483" s="2">
        <v>395</v>
      </c>
      <c r="Q483" s="2">
        <v>11</v>
      </c>
      <c r="R483" s="2">
        <v>8.3000000000000007</v>
      </c>
      <c r="S483" s="2">
        <v>156</v>
      </c>
      <c r="T483" s="2">
        <v>20</v>
      </c>
      <c r="U483" s="2">
        <v>27</v>
      </c>
      <c r="V483" s="2">
        <v>18</v>
      </c>
      <c r="X483" s="2" t="s">
        <v>33</v>
      </c>
      <c r="Y483" s="2" t="s">
        <v>31</v>
      </c>
      <c r="Z483" s="2" t="s">
        <v>29</v>
      </c>
    </row>
    <row r="484" spans="1:26" ht="27.75">
      <c r="A484">
        <v>812436199</v>
      </c>
      <c r="B484">
        <f>COUNTIF(A:A,A484)</f>
        <v>1</v>
      </c>
      <c r="C484" s="1">
        <f ca="1">DATE(
    IF(VALUE(MID(TEXT(A484,"0000000000"),5,2)) &gt; VALUE(TEXT(TODAY(),"YY")),
       1900 + VALUE(MID(TEXT(A484,"0000000000"),5,2)),
       2000 + VALUE(MID(TEXT(A484,"0000000000"),5,2))
    ),
    VALUE(MID(TEXT(A484,"0000000000"),3,2)),
    VALUE(LEFT(TEXT(A484,"0000000000"),2))
)</f>
        <v>16048</v>
      </c>
      <c r="D484" s="1">
        <v>45967</v>
      </c>
      <c r="E484" s="4">
        <f ca="1">DATEDIF(Table1[[#This Row],[DOB]],Table1[[#This Row],[eventDate]],"Y")</f>
        <v>81</v>
      </c>
      <c r="F484" s="4" t="str">
        <f>IF(MOD(VALUE(MID(TEXT(A484,"0000000000"),9,1)),2)=0,"Woman","Man")</f>
        <v>Man</v>
      </c>
      <c r="G484" s="4">
        <f ca="1">_xlfn.DAYS(TODAY(),Table1[[#This Row],[eventDate]])</f>
        <v>146</v>
      </c>
      <c r="I484" t="s">
        <v>28</v>
      </c>
      <c r="J484" t="s">
        <v>31</v>
      </c>
      <c r="K484" s="1"/>
      <c r="L484" t="str">
        <f>IF(J484="No",_xlfn.DAYS(K484,D484),"")</f>
        <v/>
      </c>
      <c r="M484">
        <f ca="1">IF(Table1[[#This Row],[Alive]]="No",Table1[[#This Row],[daysDeath]],Table1[[#This Row],[daysSince]])</f>
        <v>146</v>
      </c>
      <c r="N484">
        <v>140</v>
      </c>
      <c r="O484">
        <v>6.9</v>
      </c>
      <c r="P484">
        <v>256</v>
      </c>
      <c r="Q484">
        <v>13</v>
      </c>
      <c r="R484">
        <v>7.3</v>
      </c>
      <c r="S484">
        <v>76</v>
      </c>
      <c r="T484">
        <v>24</v>
      </c>
      <c r="U484">
        <v>38</v>
      </c>
      <c r="V484">
        <v>4</v>
      </c>
      <c r="W484">
        <v>89</v>
      </c>
      <c r="X484" s="2" t="s">
        <v>30</v>
      </c>
      <c r="Y484" t="s">
        <v>29</v>
      </c>
      <c r="Z484" t="s">
        <v>29</v>
      </c>
    </row>
    <row r="485" spans="1:26" ht="27.75">
      <c r="A485">
        <v>1803476362</v>
      </c>
      <c r="B485">
        <f>COUNTIF(A:A,A485)</f>
        <v>1</v>
      </c>
      <c r="C485" s="1">
        <f ca="1">DATE(
    IF(VALUE(MID(TEXT(A485,"0000000000"),5,2)) &gt; VALUE(TEXT(TODAY(),"YY")),
       1900 + VALUE(MID(TEXT(A485,"0000000000"),5,2)),
       2000 + VALUE(MID(TEXT(A485,"0000000000"),5,2))
    ),
    VALUE(MID(TEXT(A485,"0000000000"),3,2)),
    VALUE(LEFT(TEXT(A485,"0000000000"),2))
)</f>
        <v>17244</v>
      </c>
      <c r="D485" s="1">
        <v>45974</v>
      </c>
      <c r="E485" s="4">
        <f ca="1">DATEDIF(Table1[[#This Row],[DOB]],Table1[[#This Row],[eventDate]],"Y")</f>
        <v>78</v>
      </c>
      <c r="F485" s="4" t="str">
        <f>IF(MOD(VALUE(MID(TEXT(A485,"0000000000"),9,1)),2)=0,"Woman","Man")</f>
        <v>Woman</v>
      </c>
      <c r="G485" s="4">
        <f ca="1">_xlfn.DAYS(TODAY(),Table1[[#This Row],[eventDate]])</f>
        <v>139</v>
      </c>
      <c r="I485" t="s">
        <v>28</v>
      </c>
      <c r="J485" t="s">
        <v>31</v>
      </c>
      <c r="K485" s="1"/>
      <c r="L485" t="str">
        <f>IF(J485="No",_xlfn.DAYS(K485,D485),"")</f>
        <v/>
      </c>
      <c r="M485">
        <f ca="1">IF(Table1[[#This Row],[Alive]]="No",Table1[[#This Row],[daysDeath]],Table1[[#This Row],[daysSince]])</f>
        <v>139</v>
      </c>
      <c r="N485">
        <v>97</v>
      </c>
      <c r="O485">
        <v>6.4</v>
      </c>
      <c r="P485">
        <v>147</v>
      </c>
      <c r="Q485">
        <v>13</v>
      </c>
      <c r="R485">
        <v>2.7</v>
      </c>
      <c r="S485">
        <v>55</v>
      </c>
      <c r="T485">
        <v>230</v>
      </c>
      <c r="U485">
        <v>19</v>
      </c>
      <c r="V485">
        <v>25</v>
      </c>
      <c r="X485" s="2" t="s">
        <v>30</v>
      </c>
      <c r="Y485" t="s">
        <v>29</v>
      </c>
      <c r="Z485" t="s">
        <v>29</v>
      </c>
    </row>
    <row r="486" spans="1:26" ht="27.75">
      <c r="A486">
        <v>2303858585</v>
      </c>
      <c r="B486">
        <f>COUNTIF(A:A,A486)</f>
        <v>1</v>
      </c>
      <c r="C486" s="1">
        <f ca="1">DATE(
    IF(VALUE(MID(TEXT(A486,"0000000000"),5,2)) &gt; VALUE(TEXT(TODAY(),"YY")),
       1900 + VALUE(MID(TEXT(A486,"0000000000"),5,2)),
       2000 + VALUE(MID(TEXT(A486,"0000000000"),5,2))
    ),
    VALUE(MID(TEXT(A486,"0000000000"),3,2)),
    VALUE(LEFT(TEXT(A486,"0000000000"),2))
)</f>
        <v>31129</v>
      </c>
      <c r="D486" s="1">
        <v>45995</v>
      </c>
      <c r="E486" s="4">
        <f ca="1">DATEDIF(Table1[[#This Row],[DOB]],Table1[[#This Row],[eventDate]],"Y")</f>
        <v>40</v>
      </c>
      <c r="F486" s="4" t="str">
        <f>IF(MOD(VALUE(MID(TEXT(A486,"0000000000"),9,1)),2)=0,"Woman","Man")</f>
        <v>Woman</v>
      </c>
      <c r="G486" s="4">
        <f ca="1">_xlfn.DAYS(TODAY(),Table1[[#This Row],[eventDate]])</f>
        <v>118</v>
      </c>
      <c r="I486" t="s">
        <v>28</v>
      </c>
      <c r="J486" t="s">
        <v>31</v>
      </c>
      <c r="K486" s="1"/>
      <c r="L486" t="str">
        <f>IF(J486="No",_xlfn.DAYS(K486,D486),"")</f>
        <v/>
      </c>
      <c r="M486">
        <f ca="1">IF(Table1[[#This Row],[Alive]]="No",Table1[[#This Row],[daysDeath]],Table1[[#This Row],[daysSince]])</f>
        <v>118</v>
      </c>
      <c r="N486">
        <v>126</v>
      </c>
      <c r="O486">
        <v>10.4</v>
      </c>
      <c r="P486">
        <v>229</v>
      </c>
      <c r="Q486">
        <v>13</v>
      </c>
      <c r="R486">
        <v>1.5</v>
      </c>
      <c r="S486">
        <v>39</v>
      </c>
      <c r="T486">
        <v>230</v>
      </c>
      <c r="U486">
        <v>31</v>
      </c>
      <c r="V486">
        <v>44</v>
      </c>
      <c r="W486">
        <v>92</v>
      </c>
      <c r="X486" s="2" t="s">
        <v>30</v>
      </c>
      <c r="Y486" t="s">
        <v>29</v>
      </c>
      <c r="Z486" t="s">
        <v>29</v>
      </c>
    </row>
    <row r="487" spans="1:26" ht="27.75">
      <c r="A487">
        <v>2701446163</v>
      </c>
      <c r="B487">
        <f>COUNTIF(A:A,A487)</f>
        <v>1</v>
      </c>
      <c r="C487" s="1">
        <f ca="1">DATE(
    IF(VALUE(MID(TEXT(A487,"0000000000"),5,2)) &gt; VALUE(TEXT(TODAY(),"YY")),
       1900 + VALUE(MID(TEXT(A487,"0000000000"),5,2)),
       2000 + VALUE(MID(TEXT(A487,"0000000000"),5,2))
    ),
    VALUE(MID(TEXT(A487,"0000000000"),3,2)),
    VALUE(LEFT(TEXT(A487,"0000000000"),2))
)</f>
        <v>16098</v>
      </c>
      <c r="D487" s="1">
        <v>46009</v>
      </c>
      <c r="E487" s="4">
        <f ca="1">DATEDIF(Table1[[#This Row],[DOB]],Table1[[#This Row],[eventDate]],"Y")</f>
        <v>81</v>
      </c>
      <c r="F487" s="4" t="str">
        <f>IF(MOD(VALUE(MID(TEXT(A487,"0000000000"),9,1)),2)=0,"Woman","Man")</f>
        <v>Woman</v>
      </c>
      <c r="G487" s="4">
        <f ca="1">_xlfn.DAYS(TODAY(),Table1[[#This Row],[eventDate]])</f>
        <v>104</v>
      </c>
      <c r="I487" t="s">
        <v>28</v>
      </c>
      <c r="J487" t="s">
        <v>31</v>
      </c>
      <c r="K487" s="1"/>
      <c r="L487" t="str">
        <f>IF(J487="No",_xlfn.DAYS(K487,D487),"")</f>
        <v/>
      </c>
      <c r="M487">
        <f ca="1">IF(Table1[[#This Row],[Alive]]="No",Table1[[#This Row],[daysDeath]],Table1[[#This Row],[daysSince]])</f>
        <v>104</v>
      </c>
      <c r="N487">
        <v>102</v>
      </c>
      <c r="O487">
        <v>7.2</v>
      </c>
      <c r="P487">
        <v>371</v>
      </c>
      <c r="Q487">
        <v>10</v>
      </c>
      <c r="R487">
        <v>4.0999999999999996</v>
      </c>
      <c r="S487">
        <v>61</v>
      </c>
      <c r="T487">
        <v>380</v>
      </c>
      <c r="U487">
        <v>23</v>
      </c>
      <c r="V487">
        <v>15</v>
      </c>
      <c r="W487">
        <v>65</v>
      </c>
      <c r="X487" s="2" t="s">
        <v>30</v>
      </c>
      <c r="Y487" t="s">
        <v>31</v>
      </c>
      <c r="Z487" t="s">
        <v>29</v>
      </c>
    </row>
    <row r="488" spans="1:26" ht="27.75">
      <c r="A488">
        <v>1412506239</v>
      </c>
      <c r="B488">
        <f>COUNTIF(A:A,A488)</f>
        <v>1</v>
      </c>
      <c r="C488" s="1">
        <f ca="1">DATE(
    IF(VALUE(MID(TEXT(A488,"0000000000"),5,2)) &gt; VALUE(TEXT(TODAY(),"YY")),
       1900 + VALUE(MID(TEXT(A488,"0000000000"),5,2)),
       2000 + VALUE(MID(TEXT(A488,"0000000000"),5,2))
    ),
    VALUE(MID(TEXT(A488,"0000000000"),3,2)),
    VALUE(LEFT(TEXT(A488,"0000000000"),2))
)</f>
        <v>18611</v>
      </c>
      <c r="D488" s="1">
        <v>46014</v>
      </c>
      <c r="E488" s="4">
        <f ca="1">DATEDIF(Table1[[#This Row],[DOB]],Table1[[#This Row],[eventDate]],"Y")</f>
        <v>75</v>
      </c>
      <c r="F488" s="4" t="str">
        <f>IF(MOD(VALUE(MID(TEXT(A488,"0000000000"),9,1)),2)=0,"Woman","Man")</f>
        <v>Man</v>
      </c>
      <c r="G488" s="4">
        <f ca="1">_xlfn.DAYS(TODAY(),Table1[[#This Row],[eventDate]])</f>
        <v>99</v>
      </c>
      <c r="I488" t="s">
        <v>28</v>
      </c>
      <c r="J488" t="s">
        <v>29</v>
      </c>
      <c r="K488" s="1">
        <v>46033</v>
      </c>
      <c r="L488">
        <f>IF(J488="No",_xlfn.DAYS(K488,D488),"")</f>
        <v>19</v>
      </c>
      <c r="M488">
        <f>IF(Table1[[#This Row],[Alive]]="No",Table1[[#This Row],[daysDeath]],Table1[[#This Row],[daysSince]])</f>
        <v>19</v>
      </c>
      <c r="N488">
        <v>80</v>
      </c>
      <c r="O488">
        <v>10.7</v>
      </c>
      <c r="P488">
        <v>558</v>
      </c>
      <c r="Q488">
        <v>12</v>
      </c>
      <c r="R488">
        <v>9.6</v>
      </c>
      <c r="S488">
        <v>110</v>
      </c>
      <c r="T488">
        <v>317</v>
      </c>
      <c r="U488">
        <v>27</v>
      </c>
      <c r="V488">
        <v>27</v>
      </c>
      <c r="W488">
        <v>50</v>
      </c>
      <c r="X488" s="2" t="s">
        <v>30</v>
      </c>
      <c r="Y488" t="s">
        <v>29</v>
      </c>
      <c r="Z488" t="s">
        <v>29</v>
      </c>
    </row>
    <row r="489" spans="1:26" s="2" customFormat="1" ht="29.25">
      <c r="A489" s="2">
        <v>2502536081</v>
      </c>
      <c r="B489" s="8">
        <f>COUNTIF(A:A,A489)</f>
        <v>1</v>
      </c>
      <c r="C489" s="5">
        <f ca="1">DATE(
    IF(VALUE(MID(TEXT(A489,"0000000000"),5,2)) &gt; VALUE(TEXT(TODAY(),"YY")),
       1900 + VALUE(MID(TEXT(A489,"0000000000"),5,2)),
       2000 + VALUE(MID(TEXT(A489,"0000000000"),5,2))
    ),
    VALUE(MID(TEXT(A489,"0000000000"),3,2)),
    VALUE(LEFT(TEXT(A489,"0000000000"),2))
)</f>
        <v>19415</v>
      </c>
      <c r="D489" s="5">
        <v>45756</v>
      </c>
      <c r="E489" s="3">
        <f ca="1">DATEDIF(Table1[[#This Row],[DOB]],Table1[[#This Row],[eventDate]],"Y")</f>
        <v>72</v>
      </c>
      <c r="F489" s="3" t="str">
        <f>IF(MOD(VALUE(MID(TEXT(A489,"0000000000"),9,1)),2)=0,"Woman","Man")</f>
        <v>Woman</v>
      </c>
      <c r="G489" s="3">
        <f ca="1">_xlfn.DAYS(TODAY(),Table1[[#This Row],[eventDate]])</f>
        <v>357</v>
      </c>
      <c r="I489" s="2" t="s">
        <v>34</v>
      </c>
      <c r="J489" s="2" t="s">
        <v>31</v>
      </c>
      <c r="K489" s="5"/>
      <c r="L489" s="8" t="str">
        <f>IF(J489="No",_xlfn.DAYS(K489,D489),"")</f>
        <v/>
      </c>
      <c r="M489" s="8">
        <f ca="1">IF(Table1[[#This Row],[Alive]]="No",Table1[[#This Row],[daysDeath]],Table1[[#This Row],[daysSince]])</f>
        <v>357</v>
      </c>
      <c r="N489" s="2">
        <v>98</v>
      </c>
      <c r="O489" s="2">
        <v>4.7</v>
      </c>
      <c r="P489" s="2">
        <v>296</v>
      </c>
      <c r="Q489" s="2">
        <v>12</v>
      </c>
      <c r="R489" s="2">
        <v>7.9</v>
      </c>
      <c r="S489" s="2">
        <v>83</v>
      </c>
      <c r="T489" s="2">
        <v>152</v>
      </c>
      <c r="U489" s="2">
        <v>29</v>
      </c>
      <c r="V489" s="2">
        <v>8</v>
      </c>
      <c r="W489" s="2">
        <v>65</v>
      </c>
      <c r="X489" s="2" t="s">
        <v>30</v>
      </c>
      <c r="Y489" s="2" t="s">
        <v>29</v>
      </c>
      <c r="Z489" s="2" t="s">
        <v>29</v>
      </c>
    </row>
    <row r="490" spans="1:26" s="2" customFormat="1" ht="29.25">
      <c r="A490" s="2">
        <v>1104493195</v>
      </c>
      <c r="B490" s="8">
        <f>COUNTIF(A:A,A490)</f>
        <v>1</v>
      </c>
      <c r="C490" s="5">
        <f ca="1">DATE(
    IF(VALUE(MID(TEXT(A490,"0000000000"),5,2)) &gt; VALUE(TEXT(TODAY(),"YY")),
       1900 + VALUE(MID(TEXT(A490,"0000000000"),5,2)),
       2000 + VALUE(MID(TEXT(A490,"0000000000"),5,2))
    ),
    VALUE(MID(TEXT(A490,"0000000000"),3,2)),
    VALUE(LEFT(TEXT(A490,"0000000000"),2))
)</f>
        <v>17999</v>
      </c>
      <c r="D490" s="5">
        <v>45778</v>
      </c>
      <c r="E490" s="3">
        <f ca="1">DATEDIF(Table1[[#This Row],[DOB]],Table1[[#This Row],[eventDate]],"Y")</f>
        <v>76</v>
      </c>
      <c r="F490" s="3" t="str">
        <f>IF(MOD(VALUE(MID(TEXT(A490,"0000000000"),9,1)),2)=0,"Woman","Man")</f>
        <v>Man</v>
      </c>
      <c r="G490" s="3">
        <f ca="1">_xlfn.DAYS(TODAY(),Table1[[#This Row],[eventDate]])</f>
        <v>335</v>
      </c>
      <c r="I490" s="2" t="s">
        <v>34</v>
      </c>
      <c r="J490" s="2" t="s">
        <v>29</v>
      </c>
      <c r="K490" s="5">
        <v>45823</v>
      </c>
      <c r="L490" s="8">
        <f>IF(J490="No",_xlfn.DAYS(K490,D490),"")</f>
        <v>45</v>
      </c>
      <c r="M490" s="8">
        <f>IF(Table1[[#This Row],[Alive]]="No",Table1[[#This Row],[daysDeath]],Table1[[#This Row],[daysSince]])</f>
        <v>45</v>
      </c>
      <c r="N490" s="2">
        <v>98</v>
      </c>
      <c r="O490" s="2">
        <v>6.4</v>
      </c>
      <c r="P490" s="2">
        <v>449</v>
      </c>
      <c r="Q490" s="2">
        <v>15</v>
      </c>
      <c r="R490" s="2">
        <v>3.1</v>
      </c>
      <c r="S490" s="2">
        <v>46</v>
      </c>
      <c r="T490" s="2">
        <v>236</v>
      </c>
      <c r="U490" s="2">
        <v>16</v>
      </c>
      <c r="V490" s="2">
        <v>63</v>
      </c>
      <c r="W490" s="2">
        <v>57</v>
      </c>
      <c r="X490" s="2" t="s">
        <v>30</v>
      </c>
      <c r="Y490" s="2" t="s">
        <v>29</v>
      </c>
      <c r="Z490" s="2" t="s">
        <v>31</v>
      </c>
    </row>
    <row r="491" spans="1:26" s="2" customFormat="1" ht="29.25">
      <c r="A491" s="2">
        <v>101586388</v>
      </c>
      <c r="B491" s="8">
        <f>COUNTIF(A:A,A491)</f>
        <v>1</v>
      </c>
      <c r="C491" s="5">
        <f ca="1">DATE(
    IF(VALUE(MID(TEXT(A491,"0000000000"),5,2)) &gt; VALUE(TEXT(TODAY(),"YY")),
       1900 + VALUE(MID(TEXT(A491,"0000000000"),5,2)),
       2000 + VALUE(MID(TEXT(A491,"0000000000"),5,2))
    ),
    VALUE(MID(TEXT(A491,"0000000000"),3,2)),
    VALUE(LEFT(TEXT(A491,"0000000000"),2))
)</f>
        <v>21186</v>
      </c>
      <c r="D491" s="5">
        <v>45786</v>
      </c>
      <c r="E491" s="3">
        <f ca="1">DATEDIF(Table1[[#This Row],[DOB]],Table1[[#This Row],[eventDate]],"Y")</f>
        <v>67</v>
      </c>
      <c r="F491" s="3" t="str">
        <f>IF(MOD(VALUE(MID(TEXT(A491,"0000000000"),9,1)),2)=0,"Woman","Man")</f>
        <v>Woman</v>
      </c>
      <c r="G491" s="3">
        <f ca="1">_xlfn.DAYS(TODAY(),Table1[[#This Row],[eventDate]])</f>
        <v>327</v>
      </c>
      <c r="I491" s="2" t="s">
        <v>34</v>
      </c>
      <c r="J491" s="2" t="s">
        <v>29</v>
      </c>
      <c r="K491" s="5">
        <v>45926</v>
      </c>
      <c r="L491" s="8">
        <f>IF(J491="No",_xlfn.DAYS(K491,D491),"")</f>
        <v>140</v>
      </c>
      <c r="M491" s="8">
        <f>IF(Table1[[#This Row],[Alive]]="No",Table1[[#This Row],[daysDeath]],Table1[[#This Row],[daysSince]])</f>
        <v>140</v>
      </c>
      <c r="N491" s="2">
        <v>126</v>
      </c>
      <c r="O491" s="2">
        <v>7.4</v>
      </c>
      <c r="P491" s="2">
        <v>283</v>
      </c>
      <c r="Q491" s="2">
        <v>11</v>
      </c>
      <c r="R491" s="2">
        <v>2.8</v>
      </c>
      <c r="S491" s="2">
        <v>53</v>
      </c>
      <c r="T491" s="2">
        <v>221</v>
      </c>
      <c r="U491" s="2">
        <v>36</v>
      </c>
      <c r="V491" s="2">
        <v>8</v>
      </c>
      <c r="X491" s="2" t="s">
        <v>30</v>
      </c>
      <c r="Y491" s="2" t="s">
        <v>29</v>
      </c>
      <c r="Z491" s="2" t="s">
        <v>29</v>
      </c>
    </row>
    <row r="492" spans="1:26" s="2" customFormat="1" ht="29.25">
      <c r="A492" s="2">
        <v>3108625454</v>
      </c>
      <c r="B492" s="8">
        <f>COUNTIF(A:A,A492)</f>
        <v>1</v>
      </c>
      <c r="C492" s="5">
        <f ca="1">DATE(
    IF(VALUE(MID(TEXT(A492,"0000000000"),5,2)) &gt; VALUE(TEXT(TODAY(),"YY")),
       1900 + VALUE(MID(TEXT(A492,"0000000000"),5,2)),
       2000 + VALUE(MID(TEXT(A492,"0000000000"),5,2))
    ),
    VALUE(MID(TEXT(A492,"0000000000"),3,2)),
    VALUE(LEFT(TEXT(A492,"0000000000"),2))
)</f>
        <v>22889</v>
      </c>
      <c r="D492" s="5">
        <v>45791</v>
      </c>
      <c r="E492" s="3">
        <f ca="1">DATEDIF(Table1[[#This Row],[DOB]],Table1[[#This Row],[eventDate]],"Y")</f>
        <v>62</v>
      </c>
      <c r="F492" s="3" t="str">
        <f>IF(MOD(VALUE(MID(TEXT(A492,"0000000000"),9,1)),2)=0,"Woman","Man")</f>
        <v>Man</v>
      </c>
      <c r="G492" s="3">
        <f ca="1">_xlfn.DAYS(TODAY(),Table1[[#This Row],[eventDate]])</f>
        <v>322</v>
      </c>
      <c r="I492" s="2" t="s">
        <v>34</v>
      </c>
      <c r="J492" s="2" t="s">
        <v>29</v>
      </c>
      <c r="K492" s="5">
        <v>45890</v>
      </c>
      <c r="L492" s="8">
        <f>IF(J492="No",_xlfn.DAYS(K492,D492),"")</f>
        <v>99</v>
      </c>
      <c r="M492" s="8">
        <f>IF(Table1[[#This Row],[Alive]]="No",Table1[[#This Row],[daysDeath]],Table1[[#This Row],[daysSince]])</f>
        <v>99</v>
      </c>
      <c r="N492" s="2">
        <v>122</v>
      </c>
      <c r="O492" s="2">
        <v>10.1</v>
      </c>
      <c r="P492" s="2">
        <v>485</v>
      </c>
      <c r="Q492" s="2">
        <v>12</v>
      </c>
      <c r="R492" s="2">
        <v>4.9000000000000004</v>
      </c>
      <c r="S492" s="2">
        <v>63</v>
      </c>
      <c r="T492" s="2">
        <v>268</v>
      </c>
      <c r="U492" s="2">
        <v>20</v>
      </c>
      <c r="V492" s="2">
        <v>114</v>
      </c>
      <c r="W492" s="2">
        <v>87</v>
      </c>
      <c r="X492" s="2" t="s">
        <v>30</v>
      </c>
      <c r="Y492" s="2" t="s">
        <v>29</v>
      </c>
      <c r="Z492" s="2" t="s">
        <v>29</v>
      </c>
    </row>
    <row r="493" spans="1:26" s="2" customFormat="1" ht="29.25">
      <c r="A493" s="2">
        <v>1409543366</v>
      </c>
      <c r="B493" s="8">
        <f>COUNTIF(A:A,A493)</f>
        <v>1</v>
      </c>
      <c r="C493" s="5">
        <f ca="1">DATE(
    IF(VALUE(MID(TEXT(A493,"0000000000"),5,2)) &gt; VALUE(TEXT(TODAY(),"YY")),
       1900 + VALUE(MID(TEXT(A493,"0000000000"),5,2)),
       2000 + VALUE(MID(TEXT(A493,"0000000000"),5,2))
    ),
    VALUE(MID(TEXT(A493,"0000000000"),3,2)),
    VALUE(LEFT(TEXT(A493,"0000000000"),2))
)</f>
        <v>19981</v>
      </c>
      <c r="D493" s="5">
        <v>45806</v>
      </c>
      <c r="E493" s="3">
        <f ca="1">DATEDIF(Table1[[#This Row],[DOB]],Table1[[#This Row],[eventDate]],"Y")</f>
        <v>70</v>
      </c>
      <c r="F493" s="3" t="str">
        <f>IF(MOD(VALUE(MID(TEXT(A493,"0000000000"),9,1)),2)=0,"Woman","Man")</f>
        <v>Woman</v>
      </c>
      <c r="G493" s="3">
        <f ca="1">_xlfn.DAYS(TODAY(),Table1[[#This Row],[eventDate]])</f>
        <v>307</v>
      </c>
      <c r="I493" s="2" t="s">
        <v>34</v>
      </c>
      <c r="J493" s="2" t="s">
        <v>29</v>
      </c>
      <c r="K493" s="5">
        <v>45869</v>
      </c>
      <c r="L493" s="8">
        <f>IF(J493="No",_xlfn.DAYS(K493,D493),"")</f>
        <v>63</v>
      </c>
      <c r="M493" s="8">
        <f>IF(Table1[[#This Row],[Alive]]="No",Table1[[#This Row],[daysDeath]],Table1[[#This Row],[daysSince]])</f>
        <v>63</v>
      </c>
      <c r="N493" s="2">
        <v>117</v>
      </c>
      <c r="O493" s="2">
        <v>8.8000000000000007</v>
      </c>
      <c r="P493" s="2">
        <v>283</v>
      </c>
      <c r="Q493" s="2">
        <v>11</v>
      </c>
      <c r="R493" s="2">
        <v>3.6</v>
      </c>
      <c r="S493" s="2">
        <v>42</v>
      </c>
      <c r="T493" s="2">
        <v>131</v>
      </c>
      <c r="U493" s="2">
        <v>27</v>
      </c>
      <c r="V493" s="2">
        <v>2</v>
      </c>
      <c r="W493" s="2">
        <v>61</v>
      </c>
      <c r="X493" s="2" t="s">
        <v>30</v>
      </c>
      <c r="Y493" s="2" t="s">
        <v>29</v>
      </c>
      <c r="Z493" s="2" t="s">
        <v>29</v>
      </c>
    </row>
    <row r="494" spans="1:26" s="2" customFormat="1" ht="29.25">
      <c r="A494" s="2">
        <v>2707586439</v>
      </c>
      <c r="B494" s="8">
        <f>COUNTIF(A:A,A494)</f>
        <v>1</v>
      </c>
      <c r="C494" s="5">
        <f ca="1">DATE(
    IF(VALUE(MID(TEXT(A494,"0000000000"),5,2)) &gt; VALUE(TEXT(TODAY(),"YY")),
       1900 + VALUE(MID(TEXT(A494,"0000000000"),5,2)),
       2000 + VALUE(MID(TEXT(A494,"0000000000"),5,2))
    ),
    VALUE(MID(TEXT(A494,"0000000000"),3,2)),
    VALUE(LEFT(TEXT(A494,"0000000000"),2))
)</f>
        <v>21393</v>
      </c>
      <c r="D494" s="5">
        <v>45824</v>
      </c>
      <c r="E494" s="3">
        <f ca="1">DATEDIF(Table1[[#This Row],[DOB]],Table1[[#This Row],[eventDate]],"Y")</f>
        <v>66</v>
      </c>
      <c r="F494" s="3" t="str">
        <f>IF(MOD(VALUE(MID(TEXT(A494,"0000000000"),9,1)),2)=0,"Woman","Man")</f>
        <v>Man</v>
      </c>
      <c r="G494" s="3">
        <f ca="1">_xlfn.DAYS(TODAY(),Table1[[#This Row],[eventDate]])</f>
        <v>289</v>
      </c>
      <c r="I494" s="2" t="s">
        <v>34</v>
      </c>
      <c r="J494" s="2" t="s">
        <v>31</v>
      </c>
      <c r="K494" s="5"/>
      <c r="L494" s="8" t="str">
        <f>IF(J494="No",_xlfn.DAYS(K494,D494),"")</f>
        <v/>
      </c>
      <c r="M494" s="8">
        <f ca="1">IF(Table1[[#This Row],[Alive]]="No",Table1[[#This Row],[daysDeath]],Table1[[#This Row],[daysSince]])</f>
        <v>289</v>
      </c>
      <c r="N494" s="2">
        <v>118</v>
      </c>
      <c r="O494" s="2">
        <v>9</v>
      </c>
      <c r="P494" s="2">
        <v>257</v>
      </c>
      <c r="Q494" s="2">
        <v>12</v>
      </c>
      <c r="R494" s="2">
        <v>5.6</v>
      </c>
      <c r="S494" s="2">
        <v>56</v>
      </c>
      <c r="T494" s="2">
        <v>361</v>
      </c>
      <c r="U494" s="2">
        <v>26</v>
      </c>
      <c r="V494" s="2">
        <v>12</v>
      </c>
      <c r="W494" s="2">
        <v>65</v>
      </c>
      <c r="X494" s="2" t="s">
        <v>30</v>
      </c>
      <c r="Y494" s="2" t="s">
        <v>31</v>
      </c>
      <c r="Z494" s="2" t="s">
        <v>29</v>
      </c>
    </row>
    <row r="495" spans="1:26" s="2" customFormat="1" ht="29.25">
      <c r="A495" s="2">
        <v>2804596079</v>
      </c>
      <c r="B495" s="8">
        <f>COUNTIF(A:A,A495)</f>
        <v>1</v>
      </c>
      <c r="C495" s="5">
        <f ca="1">DATE(
    IF(VALUE(MID(TEXT(A495,"0000000000"),5,2)) &gt; VALUE(TEXT(TODAY(),"YY")),
       1900 + VALUE(MID(TEXT(A495,"0000000000"),5,2)),
       2000 + VALUE(MID(TEXT(A495,"0000000000"),5,2))
    ),
    VALUE(MID(TEXT(A495,"0000000000"),3,2)),
    VALUE(LEFT(TEXT(A495,"0000000000"),2))
)</f>
        <v>21668</v>
      </c>
      <c r="D495" s="5">
        <v>45835</v>
      </c>
      <c r="E495" s="3">
        <f ca="1">DATEDIF(Table1[[#This Row],[DOB]],Table1[[#This Row],[eventDate]],"Y")</f>
        <v>66</v>
      </c>
      <c r="F495" s="3" t="str">
        <f>IF(MOD(VALUE(MID(TEXT(A495,"0000000000"),9,1)),2)=0,"Woman","Man")</f>
        <v>Man</v>
      </c>
      <c r="G495" s="3">
        <f ca="1">_xlfn.DAYS(TODAY(),Table1[[#This Row],[eventDate]])</f>
        <v>278</v>
      </c>
      <c r="I495" s="2" t="s">
        <v>34</v>
      </c>
      <c r="J495" s="2" t="s">
        <v>29</v>
      </c>
      <c r="K495" s="5">
        <v>45850</v>
      </c>
      <c r="L495" s="8">
        <f>IF(J495="No",_xlfn.DAYS(K495,D495),"")</f>
        <v>15</v>
      </c>
      <c r="M495" s="8">
        <f>IF(Table1[[#This Row],[Alive]]="No",Table1[[#This Row],[daysDeath]],Table1[[#This Row],[daysSince]])</f>
        <v>15</v>
      </c>
      <c r="N495" s="2">
        <v>140</v>
      </c>
      <c r="O495" s="2">
        <v>6.1</v>
      </c>
      <c r="P495" s="2">
        <v>290</v>
      </c>
      <c r="Q495" s="2">
        <v>13</v>
      </c>
      <c r="R495" s="2">
        <v>6.8</v>
      </c>
      <c r="S495" s="2">
        <v>88</v>
      </c>
      <c r="T495" s="2">
        <v>364</v>
      </c>
      <c r="U495" s="2">
        <v>33</v>
      </c>
      <c r="V495" s="2">
        <v>8</v>
      </c>
      <c r="W495" s="2">
        <v>100</v>
      </c>
      <c r="X495" s="2" t="s">
        <v>30</v>
      </c>
      <c r="Y495" s="2" t="s">
        <v>29</v>
      </c>
      <c r="Z495" s="2" t="s">
        <v>31</v>
      </c>
    </row>
    <row r="496" spans="1:26" s="2" customFormat="1" ht="29.25">
      <c r="A496" s="2">
        <v>1202666604</v>
      </c>
      <c r="B496" s="8">
        <f>COUNTIF(A:A,A496)</f>
        <v>1</v>
      </c>
      <c r="C496" s="5">
        <f ca="1">DATE(
    IF(VALUE(MID(TEXT(A496,"0000000000"),5,2)) &gt; VALUE(TEXT(TODAY(),"YY")),
       1900 + VALUE(MID(TEXT(A496,"0000000000"),5,2)),
       2000 + VALUE(MID(TEXT(A496,"0000000000"),5,2))
    ),
    VALUE(MID(TEXT(A496,"0000000000"),3,2)),
    VALUE(LEFT(TEXT(A496,"0000000000"),2))
)</f>
        <v>24150</v>
      </c>
      <c r="D496" s="5">
        <v>45873</v>
      </c>
      <c r="E496" s="3">
        <f ca="1">DATEDIF(Table1[[#This Row],[DOB]],Table1[[#This Row],[eventDate]],"Y")</f>
        <v>59</v>
      </c>
      <c r="F496" s="3" t="str">
        <f>IF(MOD(VALUE(MID(TEXT(A496,"0000000000"),9,1)),2)=0,"Woman","Man")</f>
        <v>Woman</v>
      </c>
      <c r="G496" s="3">
        <f ca="1">_xlfn.DAYS(TODAY(),Table1[[#This Row],[eventDate]])</f>
        <v>240</v>
      </c>
      <c r="I496" s="2" t="s">
        <v>34</v>
      </c>
      <c r="J496" s="2" t="s">
        <v>31</v>
      </c>
      <c r="K496" s="5"/>
      <c r="L496" s="8" t="str">
        <f>IF(J496="No",_xlfn.DAYS(K496,D496),"")</f>
        <v/>
      </c>
      <c r="M496" s="8">
        <f ca="1">IF(Table1[[#This Row],[Alive]]="No",Table1[[#This Row],[daysDeath]],Table1[[#This Row],[daysSince]])</f>
        <v>240</v>
      </c>
      <c r="N496" s="2">
        <v>96</v>
      </c>
      <c r="O496" s="2">
        <v>5</v>
      </c>
      <c r="P496" s="2">
        <v>210</v>
      </c>
      <c r="Q496" s="2">
        <v>11</v>
      </c>
      <c r="R496" s="2">
        <v>4.2</v>
      </c>
      <c r="S496" s="2">
        <v>77</v>
      </c>
      <c r="T496" s="2">
        <v>5</v>
      </c>
      <c r="U496" s="2">
        <v>28</v>
      </c>
      <c r="V496" s="2">
        <v>9</v>
      </c>
      <c r="X496" s="2" t="s">
        <v>33</v>
      </c>
      <c r="Y496" s="2" t="s">
        <v>31</v>
      </c>
      <c r="Z496" s="2" t="s">
        <v>29</v>
      </c>
    </row>
    <row r="497" spans="1:26" s="2" customFormat="1" ht="29.25">
      <c r="A497" s="2">
        <v>1211483061</v>
      </c>
      <c r="B497" s="8">
        <f>COUNTIF(A:A,A497)</f>
        <v>1</v>
      </c>
      <c r="C497" s="5">
        <f ca="1">DATE(
    IF(VALUE(MID(TEXT(A497,"0000000000"),5,2)) &gt; VALUE(TEXT(TODAY(),"YY")),
       1900 + VALUE(MID(TEXT(A497,"0000000000"),5,2)),
       2000 + VALUE(MID(TEXT(A497,"0000000000"),5,2))
    ),
    VALUE(MID(TEXT(A497,"0000000000"),3,2)),
    VALUE(LEFT(TEXT(A497,"0000000000"),2))
)</f>
        <v>17849</v>
      </c>
      <c r="D497" s="5">
        <v>45884</v>
      </c>
      <c r="E497" s="3">
        <f ca="1">DATEDIF(Table1[[#This Row],[DOB]],Table1[[#This Row],[eventDate]],"Y")</f>
        <v>76</v>
      </c>
      <c r="F497" s="3" t="str">
        <f>IF(MOD(VALUE(MID(TEXT(A497,"0000000000"),9,1)),2)=0,"Woman","Man")</f>
        <v>Woman</v>
      </c>
      <c r="G497" s="3">
        <f ca="1">_xlfn.DAYS(TODAY(),Table1[[#This Row],[eventDate]])</f>
        <v>229</v>
      </c>
      <c r="I497" s="2" t="s">
        <v>34</v>
      </c>
      <c r="J497" s="2" t="s">
        <v>29</v>
      </c>
      <c r="K497" s="5">
        <v>45905</v>
      </c>
      <c r="L497" s="8">
        <f>IF(J497="No",_xlfn.DAYS(K497,D497),"")</f>
        <v>21</v>
      </c>
      <c r="M497" s="8">
        <f>IF(Table1[[#This Row],[Alive]]="No",Table1[[#This Row],[daysDeath]],Table1[[#This Row],[daysSince]])</f>
        <v>21</v>
      </c>
      <c r="N497" s="2">
        <v>119</v>
      </c>
      <c r="O497" s="2">
        <v>18.399999999999999</v>
      </c>
      <c r="P497" s="2">
        <v>650</v>
      </c>
      <c r="Q497" s="2">
        <v>11</v>
      </c>
      <c r="R497" s="2">
        <v>11.5</v>
      </c>
      <c r="S497" s="2">
        <v>153</v>
      </c>
      <c r="T497" s="2">
        <v>454</v>
      </c>
      <c r="U497" s="2">
        <v>20</v>
      </c>
      <c r="V497" s="2">
        <v>66</v>
      </c>
      <c r="W497" s="2">
        <v>73</v>
      </c>
      <c r="X497" s="2" t="s">
        <v>30</v>
      </c>
      <c r="Y497" s="2" t="s">
        <v>31</v>
      </c>
      <c r="Z497" s="2" t="s">
        <v>31</v>
      </c>
    </row>
    <row r="498" spans="1:26" s="2" customFormat="1" ht="29.25">
      <c r="A498" s="2">
        <v>2309476366</v>
      </c>
      <c r="B498" s="8">
        <f>COUNTIF(A:A,A498)</f>
        <v>1</v>
      </c>
      <c r="C498" s="5">
        <f ca="1">DATE(
    IF(VALUE(MID(TEXT(A498,"0000000000"),5,2)) &gt; VALUE(TEXT(TODAY(),"YY")),
       1900 + VALUE(MID(TEXT(A498,"0000000000"),5,2)),
       2000 + VALUE(MID(TEXT(A498,"0000000000"),5,2))
    ),
    VALUE(MID(TEXT(A498,"0000000000"),3,2)),
    VALUE(LEFT(TEXT(A498,"0000000000"),2))
)</f>
        <v>17433</v>
      </c>
      <c r="D498" s="5">
        <v>45884</v>
      </c>
      <c r="E498" s="3">
        <f ca="1">DATEDIF(Table1[[#This Row],[DOB]],Table1[[#This Row],[eventDate]],"Y")</f>
        <v>77</v>
      </c>
      <c r="F498" s="3" t="str">
        <f>IF(MOD(VALUE(MID(TEXT(A498,"0000000000"),9,1)),2)=0,"Woman","Man")</f>
        <v>Woman</v>
      </c>
      <c r="G498" s="3">
        <f ca="1">_xlfn.DAYS(TODAY(),Table1[[#This Row],[eventDate]])</f>
        <v>229</v>
      </c>
      <c r="I498" s="2" t="s">
        <v>34</v>
      </c>
      <c r="J498" s="2" t="s">
        <v>29</v>
      </c>
      <c r="K498" s="5">
        <v>45920</v>
      </c>
      <c r="L498" s="8">
        <f>IF(J498="No",_xlfn.DAYS(K498,D498),"")</f>
        <v>36</v>
      </c>
      <c r="M498" s="8">
        <f>IF(Table1[[#This Row],[Alive]]="No",Table1[[#This Row],[daysDeath]],Table1[[#This Row],[daysSince]])</f>
        <v>36</v>
      </c>
      <c r="N498" s="2">
        <v>107</v>
      </c>
      <c r="O498" s="2">
        <v>8.5</v>
      </c>
      <c r="P498" s="2">
        <v>345</v>
      </c>
      <c r="Q498" s="2">
        <v>11</v>
      </c>
      <c r="R498" s="2">
        <v>3.9</v>
      </c>
      <c r="S498" s="2">
        <v>42</v>
      </c>
      <c r="T498" s="2">
        <v>528</v>
      </c>
      <c r="U498" s="2">
        <v>24</v>
      </c>
      <c r="V498" s="2">
        <v>12</v>
      </c>
      <c r="W498" s="2">
        <v>62</v>
      </c>
      <c r="X498" s="2" t="s">
        <v>30</v>
      </c>
      <c r="Y498" s="2" t="s">
        <v>31</v>
      </c>
      <c r="Z498" s="2" t="s">
        <v>31</v>
      </c>
    </row>
    <row r="499" spans="1:26" s="2" customFormat="1" ht="29.25">
      <c r="A499" s="2">
        <v>1406536350</v>
      </c>
      <c r="B499" s="8">
        <f>COUNTIF(A:A,A499)</f>
        <v>1</v>
      </c>
      <c r="C499" s="5">
        <f ca="1">DATE(
    IF(VALUE(MID(TEXT(A499,"0000000000"),5,2)) &gt; VALUE(TEXT(TODAY(),"YY")),
       1900 + VALUE(MID(TEXT(A499,"0000000000"),5,2)),
       2000 + VALUE(MID(TEXT(A499,"0000000000"),5,2))
    ),
    VALUE(MID(TEXT(A499,"0000000000"),3,2)),
    VALUE(LEFT(TEXT(A499,"0000000000"),2))
)</f>
        <v>19524</v>
      </c>
      <c r="D499" s="5">
        <v>45944</v>
      </c>
      <c r="E499" s="3">
        <f ca="1">DATEDIF(Table1[[#This Row],[DOB]],Table1[[#This Row],[eventDate]],"Y")</f>
        <v>72</v>
      </c>
      <c r="F499" s="3" t="str">
        <f>IF(MOD(VALUE(MID(TEXT(A499,"0000000000"),9,1)),2)=0,"Woman","Man")</f>
        <v>Man</v>
      </c>
      <c r="G499" s="3">
        <f ca="1">_xlfn.DAYS(TODAY(),Table1[[#This Row],[eventDate]])</f>
        <v>169</v>
      </c>
      <c r="I499" s="2" t="s">
        <v>34</v>
      </c>
      <c r="J499" s="2" t="s">
        <v>29</v>
      </c>
      <c r="K499" s="5">
        <v>45982</v>
      </c>
      <c r="L499" s="8">
        <f>IF(J499="No",_xlfn.DAYS(K499,D499),"")</f>
        <v>38</v>
      </c>
      <c r="M499" s="8">
        <f>IF(Table1[[#This Row],[Alive]]="No",Table1[[#This Row],[daysDeath]],Table1[[#This Row],[daysSince]])</f>
        <v>38</v>
      </c>
      <c r="N499" s="2">
        <v>134</v>
      </c>
      <c r="O499" s="2">
        <v>14.2</v>
      </c>
      <c r="P499" s="2">
        <v>211</v>
      </c>
      <c r="Q499" s="2">
        <v>16</v>
      </c>
      <c r="R499" s="2">
        <v>5.9</v>
      </c>
      <c r="S499" s="2">
        <v>89</v>
      </c>
      <c r="T499" s="2">
        <v>382</v>
      </c>
      <c r="U499" s="2">
        <v>18</v>
      </c>
      <c r="V499" s="2">
        <v>70</v>
      </c>
      <c r="W499" s="2">
        <v>96</v>
      </c>
      <c r="X499" s="2" t="s">
        <v>30</v>
      </c>
      <c r="Y499" s="2" t="s">
        <v>29</v>
      </c>
      <c r="Z499" s="2" t="s">
        <v>31</v>
      </c>
    </row>
    <row r="500" spans="1:26" s="2" customFormat="1" ht="29.25">
      <c r="A500" s="2">
        <v>2007555476</v>
      </c>
      <c r="B500" s="8">
        <f>COUNTIF(A:A,A500)</f>
        <v>1</v>
      </c>
      <c r="C500" s="5">
        <f ca="1">DATE(
    IF(VALUE(MID(TEXT(A500,"0000000000"),5,2)) &gt; VALUE(TEXT(TODAY(),"YY")),
       1900 + VALUE(MID(TEXT(A500,"0000000000"),5,2)),
       2000 + VALUE(MID(TEXT(A500,"0000000000"),5,2))
    ),
    VALUE(MID(TEXT(A500,"0000000000"),3,2)),
    VALUE(LEFT(TEXT(A500,"0000000000"),2))
)</f>
        <v>20290</v>
      </c>
      <c r="D500" s="5">
        <v>46000</v>
      </c>
      <c r="E500" s="3">
        <f ca="1">DATEDIF(Table1[[#This Row],[DOB]],Table1[[#This Row],[eventDate]],"Y")</f>
        <v>70</v>
      </c>
      <c r="F500" s="3" t="str">
        <f>IF(MOD(VALUE(MID(TEXT(A500,"0000000000"),9,1)),2)=0,"Woman","Man")</f>
        <v>Man</v>
      </c>
      <c r="G500" s="3">
        <f ca="1">_xlfn.DAYS(TODAY(),Table1[[#This Row],[eventDate]])</f>
        <v>113</v>
      </c>
      <c r="I500" s="2" t="s">
        <v>34</v>
      </c>
      <c r="J500" s="2" t="s">
        <v>29</v>
      </c>
      <c r="K500" s="5">
        <v>46105</v>
      </c>
      <c r="L500" s="8">
        <f>IF(J500="No",_xlfn.DAYS(K500,D500),"")</f>
        <v>105</v>
      </c>
      <c r="M500" s="8">
        <f>IF(Table1[[#This Row],[Alive]]="No",Table1[[#This Row],[daysDeath]],Table1[[#This Row],[daysSince]])</f>
        <v>105</v>
      </c>
      <c r="N500" s="2">
        <v>124</v>
      </c>
      <c r="O500" s="2">
        <v>5.7</v>
      </c>
      <c r="P500" s="2">
        <v>374</v>
      </c>
      <c r="Q500" s="2">
        <v>12</v>
      </c>
      <c r="R500" s="2">
        <v>3.3</v>
      </c>
      <c r="S500" s="2">
        <v>90</v>
      </c>
      <c r="T500" s="2">
        <v>317</v>
      </c>
      <c r="U500" s="2">
        <v>28</v>
      </c>
      <c r="V500" s="2">
        <v>5</v>
      </c>
      <c r="W500" s="2">
        <v>66</v>
      </c>
      <c r="X500" s="2" t="s">
        <v>30</v>
      </c>
      <c r="Y500" s="2" t="s">
        <v>29</v>
      </c>
      <c r="Z500" s="2" t="s">
        <v>29</v>
      </c>
    </row>
  </sheetData>
  <conditionalFormatting sqref="B2:B1048576">
    <cfRule type="cellIs" dxfId="8" priority="1" operator="greaterThan">
      <formula>1</formula>
    </cfRule>
  </conditionalFormatting>
  <dataValidations count="1">
    <dataValidation type="list" allowBlank="1" showInputMessage="1" showErrorMessage="1" sqref="X1:X1048576" xr:uid="{ADE3245B-4136-466E-BF85-6184679865DE}">
      <formula1>"Presumed or confirmed malignant obstruction,Presumed or confirmed benign obstruction"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35390C24AE34082B0943CB93C1B2A" ma:contentTypeVersion="15" ma:contentTypeDescription="Create a new document." ma:contentTypeScope="" ma:versionID="e54001578ef93bafe2eefbcc5aa0d41e">
  <xsd:schema xmlns:xsd="http://www.w3.org/2001/XMLSchema" xmlns:xs="http://www.w3.org/2001/XMLSchema" xmlns:p="http://schemas.microsoft.com/office/2006/metadata/properties" xmlns:ns2="bb822c07-e5df-4c5c-a247-b733f4b6e647" xmlns:ns3="4e4bc821-5d6d-493e-afba-47abe5f863e5" targetNamespace="http://schemas.microsoft.com/office/2006/metadata/properties" ma:root="true" ma:fieldsID="0e51c8b02b734cd4326e0ea6ee10aac9" ns2:_="" ns3:_="">
    <xsd:import namespace="bb822c07-e5df-4c5c-a247-b733f4b6e647"/>
    <xsd:import namespace="4e4bc821-5d6d-493e-afba-47abe5f86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22c07-e5df-4c5c-a247-b733f4b6e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bc821-5d6d-493e-afba-47abe5f863e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e7fdbe4-e4b4-49a7-9dca-4da93fb1093f}" ma:internalName="TaxCatchAll" ma:showField="CatchAllData" ma:web="4e4bc821-5d6d-493e-afba-47abe5f86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822c07-e5df-4c5c-a247-b733f4b6e647">
      <Terms xmlns="http://schemas.microsoft.com/office/infopath/2007/PartnerControls"/>
    </lcf76f155ced4ddcb4097134ff3c332f>
    <TaxCatchAll xmlns="4e4bc821-5d6d-493e-afba-47abe5f863e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077AF-59D8-454A-B612-8E5E7804AF2E}"/>
</file>

<file path=customXml/itemProps2.xml><?xml version="1.0" encoding="utf-8"?>
<ds:datastoreItem xmlns:ds="http://schemas.openxmlformats.org/officeDocument/2006/customXml" ds:itemID="{6AD0BFF0-844C-4640-A33C-9D813AE3170F}"/>
</file>

<file path=customXml/itemProps3.xml><?xml version="1.0" encoding="utf-8"?>
<ds:datastoreItem xmlns:ds="http://schemas.openxmlformats.org/officeDocument/2006/customXml" ds:itemID="{7583DEA2-1B3B-40CB-9FDD-91106374F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Hennessy (NHS Greater Glasgow and Clyde)</cp:lastModifiedBy>
  <cp:revision/>
  <dcterms:created xsi:type="dcterms:W3CDTF">2025-09-05T15:18:34Z</dcterms:created>
  <dcterms:modified xsi:type="dcterms:W3CDTF">2026-04-01T08:20:38Z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0x0101000D635390C24AE34082B0943CB93C1B2A</vt:lpwstr>
  </property>
  <property fmtid="{D5CDD505-2E9C-101B-9397-08002B2CF9AE}" pid="3" name="MediaServiceImageTags">
    <vt:lpwstr/>
  </property>
</Properties>
</file>